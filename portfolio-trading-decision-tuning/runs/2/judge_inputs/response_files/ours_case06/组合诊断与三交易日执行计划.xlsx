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输入快照" sheetId="1" state="visible" r:id="rId1"/>
    <sheet xmlns:r="http://schemas.openxmlformats.org/officeDocument/2006/relationships" name="2-勾稽与成本" sheetId="2" state="visible" r:id="rId2"/>
    <sheet xmlns:r="http://schemas.openxmlformats.org/officeDocument/2006/relationships" name="3-交易日历" sheetId="3" state="visible" r:id="rId3"/>
    <sheet xmlns:r="http://schemas.openxmlformats.org/officeDocument/2006/relationships" name="4-硬约束状态" sheetId="4" state="visible" r:id="rId4"/>
    <sheet xmlns:r="http://schemas.openxmlformats.org/officeDocument/2006/relationships" name="5-方案对比" sheetId="5" state="visible" r:id="rId5"/>
    <sheet xmlns:r="http://schemas.openxmlformats.org/officeDocument/2006/relationships" name="6-交易明细" sheetId="6" state="visible" r:id="rId6"/>
    <sheet xmlns:r="http://schemas.openxmlformats.org/officeDocument/2006/relationships" name="7-条件规则if-then" sheetId="7" state="visible" r:id="rId7"/>
    <sheet xmlns:r="http://schemas.openxmlformats.org/officeDocument/2006/relationships" name="8-压力情景" sheetId="8" state="visible" r:id="rId8"/>
    <sheet xmlns:r="http://schemas.openxmlformats.org/officeDocument/2006/relationships" name="9-假设与缺口" sheetId="9" state="visible" r:id="rId9"/>
    <sheet xmlns:r="http://schemas.openxmlformats.org/officeDocument/2006/relationships" name="10-自检回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.6" customWidth="1" min="3" max="3"/>
    <col width="12" customWidth="1" min="4" max="4"/>
    <col width="44" customWidth="1" min="5" max="5"/>
    <col width="12" customWidth="1" min="6" max="6"/>
    <col width="14.3" customWidth="1" min="7" max="7"/>
    <col width="12" customWidth="1" min="8" max="8"/>
    <col width="16.5" customWidth="1" min="9" max="9"/>
  </cols>
  <sheetData>
    <row r="1">
      <c r="A1" s="1" t="inlineStr">
        <is>
          <t>材料号</t>
        </is>
      </c>
      <c r="B1" s="1" t="inlineStr">
        <is>
          <t>类别</t>
        </is>
      </c>
      <c r="C1" s="1" t="inlineStr">
        <is>
          <t>时点</t>
        </is>
      </c>
      <c r="D1" s="1" t="inlineStr">
        <is>
          <t>项目</t>
        </is>
      </c>
      <c r="E1" s="1" t="inlineStr">
        <is>
          <t>原始记录</t>
        </is>
      </c>
      <c r="F1" s="1" t="inlineStr">
        <is>
          <t>数量</t>
        </is>
      </c>
      <c r="G1" s="1" t="inlineStr">
        <is>
          <t>价格/比率</t>
        </is>
      </c>
      <c r="H1" s="1" t="inlineStr">
        <is>
          <t>状态</t>
        </is>
      </c>
      <c r="I1" s="1" t="inlineStr">
        <is>
          <t>取舍/备注</t>
        </is>
      </c>
    </row>
    <row r="2">
      <c r="A2" s="2" t="inlineStr">
        <is>
          <t>B01</t>
        </is>
      </c>
      <c r="B2" s="2" t="inlineStr">
        <is>
          <t>审阅信息</t>
        </is>
      </c>
      <c r="C2" s="2" t="inlineStr">
        <is>
          <t>2026-09-10 14:20</t>
        </is>
      </c>
      <c r="D2" s="2" t="inlineStr">
        <is>
          <t>审阅时点</t>
        </is>
      </c>
      <c r="E2" s="2" t="inlineStr">
        <is>
          <t>基础货币人民币，金额折人民币比较</t>
        </is>
      </c>
      <c r="F2" s="2" t="inlineStr"/>
      <c r="G2" s="2" t="inlineStr"/>
      <c r="H2" s="2" t="inlineStr">
        <is>
          <t>任务单</t>
        </is>
      </c>
      <c r="I2" s="2" t="inlineStr">
        <is>
          <t>交易日未收盘</t>
        </is>
      </c>
    </row>
    <row r="3">
      <c r="A3" s="2" t="inlineStr">
        <is>
          <t>B03</t>
        </is>
      </c>
      <c r="B3" s="2" t="inlineStr">
        <is>
          <t>投资者约束</t>
        </is>
      </c>
      <c r="C3" s="2" t="inlineStr">
        <is>
          <t>持续</t>
        </is>
      </c>
      <c r="D3" s="2" t="inlineStr">
        <is>
          <t>风险上限</t>
        </is>
      </c>
      <c r="E3" s="2" t="inlineStr">
        <is>
          <t>风险资产≤70%；单标的≤22%；同主题≤35%；未对冲外币≤25%；自由现金≥25%</t>
        </is>
      </c>
      <c r="F3" s="2" t="inlineStr"/>
      <c r="G3" s="2" t="inlineStr"/>
      <c r="H3" s="2" t="inlineStr">
        <is>
          <t>客户书面</t>
        </is>
      </c>
      <c r="I3" s="2" t="inlineStr">
        <is>
          <t>占总资产人民币价值</t>
        </is>
      </c>
    </row>
    <row r="4">
      <c r="A4" s="2" t="inlineStr">
        <is>
          <t>B04</t>
        </is>
      </c>
      <c r="B4" s="2" t="inlineStr">
        <is>
          <t>投资者约束</t>
        </is>
      </c>
      <c r="C4" s="2" t="inlineStr">
        <is>
          <t>一周压力</t>
        </is>
      </c>
      <c r="D4" s="2" t="inlineStr">
        <is>
          <t>最大回撤</t>
        </is>
      </c>
      <c r="E4" s="2" t="inlineStr">
        <is>
          <t>指定一周情景损失≤总资产6%</t>
        </is>
      </c>
      <c r="F4" s="2" t="inlineStr">
        <is>
          <t>6%</t>
        </is>
      </c>
      <c r="G4" s="2" t="inlineStr"/>
      <c r="H4" s="2" t="inlineStr">
        <is>
          <t>客户书面</t>
        </is>
      </c>
      <c r="I4" s="2" t="inlineStr">
        <is>
          <t>按附件冲击</t>
        </is>
      </c>
    </row>
    <row r="5">
      <c r="A5" s="2" t="inlineStr">
        <is>
          <t>B05</t>
        </is>
      </c>
      <c r="B5" s="2" t="inlineStr">
        <is>
          <t>投资偏好</t>
        </is>
      </c>
      <c r="C5" s="2" t="inlineStr">
        <is>
          <t>审阅时</t>
        </is>
      </c>
      <c r="D5" s="2" t="inlineStr">
        <is>
          <t>保留顺序</t>
        </is>
      </c>
      <c r="E5" s="2" t="inlineStr">
        <is>
          <t>最想保留B(光模块)，其次A(铜)；愿减C(新能源)与D(恒生科技)；风险约束优先</t>
        </is>
      </c>
      <c r="F5" s="2" t="inlineStr"/>
      <c r="G5" s="2" t="inlineStr"/>
      <c r="H5" s="2" t="inlineStr">
        <is>
          <t>访谈</t>
        </is>
      </c>
      <c r="I5" s="2" t="inlineStr">
        <is>
          <t>偏好非强制下限</t>
        </is>
      </c>
    </row>
    <row r="6">
      <c r="A6" s="2" t="inlineStr">
        <is>
          <t>K01</t>
        </is>
      </c>
      <c r="B6" s="2" t="inlineStr">
        <is>
          <t>账户</t>
        </is>
      </c>
      <c r="C6" s="2" t="inlineStr">
        <is>
          <t>14:20</t>
        </is>
      </c>
      <c r="D6" s="2" t="inlineStr">
        <is>
          <t>人民币可用现金</t>
        </is>
      </c>
      <c r="E6" s="2" t="inlineStr"/>
      <c r="F6" s="2" t="inlineStr">
        <is>
          <t>220000</t>
        </is>
      </c>
      <c r="G6" s="2" t="inlineStr"/>
      <c r="H6" s="2" t="inlineStr">
        <is>
          <t>券商导出</t>
        </is>
      </c>
      <c r="I6" s="2" t="inlineStr">
        <is>
          <t>未冻结</t>
        </is>
      </c>
    </row>
    <row r="7">
      <c r="A7" s="2" t="inlineStr">
        <is>
          <t>K02</t>
        </is>
      </c>
      <c r="B7" s="2" t="inlineStr">
        <is>
          <t>账户</t>
        </is>
      </c>
      <c r="C7" s="2" t="inlineStr">
        <is>
          <t>14:20</t>
        </is>
      </c>
      <c r="D7" s="2" t="inlineStr">
        <is>
          <t>港币现金</t>
        </is>
      </c>
      <c r="E7" s="2" t="inlineStr"/>
      <c r="F7" s="2" t="inlineStr">
        <is>
          <t>60000</t>
        </is>
      </c>
      <c r="G7" s="2" t="inlineStr">
        <is>
          <t>0.92 CNY/HKD</t>
        </is>
      </c>
      <c r="H7" s="2" t="inlineStr">
        <is>
          <t>券商+即期</t>
        </is>
      </c>
      <c r="I7" s="2" t="inlineStr">
        <is>
          <t>可兑换，换汇前不能买A股</t>
        </is>
      </c>
    </row>
    <row r="8">
      <c r="A8" s="2" t="inlineStr">
        <is>
          <t>K03</t>
        </is>
      </c>
      <c r="B8" s="2" t="inlineStr">
        <is>
          <t>账户</t>
        </is>
      </c>
      <c r="C8" s="2" t="inlineStr">
        <is>
          <t>14:20</t>
        </is>
      </c>
      <c r="D8" s="2" t="inlineStr">
        <is>
          <t>冻结申购款</t>
        </is>
      </c>
      <c r="E8" s="2" t="inlineStr">
        <is>
          <t>9月12日解冻</t>
        </is>
      </c>
      <c r="F8" s="2" t="inlineStr">
        <is>
          <t>16000</t>
        </is>
      </c>
      <c r="G8" s="2" t="inlineStr"/>
      <c r="H8" s="2" t="inlineStr">
        <is>
          <t>券商导出</t>
        </is>
      </c>
      <c r="I8" s="2" t="inlineStr">
        <is>
          <t>计入总资产，不可自由用</t>
        </is>
      </c>
    </row>
    <row r="9">
      <c r="A9" s="2" t="inlineStr">
        <is>
          <t>K04</t>
        </is>
      </c>
      <c r="B9" s="2" t="inlineStr">
        <is>
          <t>账户</t>
        </is>
      </c>
      <c r="C9" s="2" t="inlineStr">
        <is>
          <t>14:20</t>
        </is>
      </c>
      <c r="D9" s="2" t="inlineStr">
        <is>
          <t>券商总资产</t>
        </is>
      </c>
      <c r="E9" s="2" t="inlineStr"/>
      <c r="F9" s="2" t="inlineStr">
        <is>
          <t>1009200</t>
        </is>
      </c>
      <c r="G9" s="2" t="inlineStr"/>
      <c r="H9" s="2" t="inlineStr">
        <is>
          <t>券商导出</t>
        </is>
      </c>
      <c r="I9" s="2" t="inlineStr">
        <is>
          <t>核对锚</t>
        </is>
      </c>
    </row>
    <row r="10">
      <c r="A10" s="2" t="inlineStr">
        <is>
          <t>H01</t>
        </is>
      </c>
      <c r="B10" s="2" t="inlineStr">
        <is>
          <t>持仓</t>
        </is>
      </c>
      <c r="C10" s="2" t="inlineStr">
        <is>
          <t>14:20</t>
        </is>
      </c>
      <c r="D10" s="2" t="inlineStr">
        <is>
          <t>铜资源股A</t>
        </is>
      </c>
      <c r="E10" s="2" t="inlineStr">
        <is>
          <t>持仓8000，可卖6000(2000当日买)</t>
        </is>
      </c>
      <c r="F10" s="2" t="inlineStr">
        <is>
          <t>8000</t>
        </is>
      </c>
      <c r="G10" s="2" t="inlineStr">
        <is>
          <t>49.50</t>
        </is>
      </c>
      <c r="H10" s="2" t="inlineStr">
        <is>
          <t>券商导出</t>
        </is>
      </c>
      <c r="I10" s="2" t="inlineStr"/>
    </row>
    <row r="11">
      <c r="A11" s="2" t="inlineStr">
        <is>
          <t>H02</t>
        </is>
      </c>
      <c r="B11" s="2" t="inlineStr">
        <is>
          <t>持仓</t>
        </is>
      </c>
      <c r="C11" s="2" t="inlineStr">
        <is>
          <t>14:20</t>
        </is>
      </c>
      <c r="D11" s="2" t="inlineStr">
        <is>
          <t>光模块股B</t>
        </is>
      </c>
      <c r="E11" s="2" t="inlineStr">
        <is>
          <t>持仓1800，可卖1800</t>
        </is>
      </c>
      <c r="F11" s="2" t="inlineStr">
        <is>
          <t>1800</t>
        </is>
      </c>
      <c r="G11" s="2" t="inlineStr">
        <is>
          <t>120.00(9/9收盘)</t>
        </is>
      </c>
      <c r="H11" s="2" t="inlineStr">
        <is>
          <t>券商导出</t>
        </is>
      </c>
      <c r="I11" s="2" t="inlineStr">
        <is>
          <t>9/10停牌，价为停牌前收盘</t>
        </is>
      </c>
    </row>
    <row r="12">
      <c r="A12" s="2" t="inlineStr">
        <is>
          <t>H03</t>
        </is>
      </c>
      <c r="B12" s="2" t="inlineStr">
        <is>
          <t>持仓</t>
        </is>
      </c>
      <c r="C12" s="2" t="inlineStr">
        <is>
          <t>14:20</t>
        </is>
      </c>
      <c r="D12" s="2" t="inlineStr">
        <is>
          <t>新能源股C</t>
        </is>
      </c>
      <c r="E12" s="2" t="inlineStr">
        <is>
          <t>持仓1000，可卖1000</t>
        </is>
      </c>
      <c r="F12" s="2" t="inlineStr">
        <is>
          <t>1000</t>
        </is>
      </c>
      <c r="G12" s="2" t="inlineStr">
        <is>
          <t>60.00</t>
        </is>
      </c>
      <c r="H12" s="2" t="inlineStr">
        <is>
          <t>券商导出</t>
        </is>
      </c>
      <c r="I12" s="2" t="inlineStr">
        <is>
          <t>当日跌停，买一无有效挂单</t>
        </is>
      </c>
    </row>
    <row r="13">
      <c r="A13" s="2" t="inlineStr">
        <is>
          <t>H04</t>
        </is>
      </c>
      <c r="B13" s="2" t="inlineStr">
        <is>
          <t>持仓</t>
        </is>
      </c>
      <c r="C13" s="2" t="inlineStr">
        <is>
          <t>14:20</t>
        </is>
      </c>
      <c r="D13" s="2" t="inlineStr">
        <is>
          <t>恒生科技ETF D</t>
        </is>
      </c>
      <c r="E13" s="2" t="inlineStr">
        <is>
          <t>持仓5000，可卖5000</t>
        </is>
      </c>
      <c r="F13" s="2" t="inlineStr">
        <is>
          <t>5000</t>
        </is>
      </c>
      <c r="G13" s="2" t="inlineStr">
        <is>
          <t>10.00 HKD</t>
        </is>
      </c>
      <c r="H13" s="2" t="inlineStr">
        <is>
          <t>券商导出</t>
        </is>
      </c>
      <c r="I13" s="2" t="inlineStr">
        <is>
          <t>按0.92折算</t>
        </is>
      </c>
    </row>
    <row r="14">
      <c r="A14" s="2" t="inlineStr">
        <is>
          <t>D01</t>
        </is>
      </c>
      <c r="B14" s="2" t="inlineStr">
        <is>
          <t>低可信</t>
        </is>
      </c>
      <c r="C14" s="2" t="inlineStr">
        <is>
          <t>截图时间不明</t>
        </is>
      </c>
      <c r="D14" s="2" t="inlineStr">
        <is>
          <t>B手机OCR</t>
        </is>
      </c>
      <c r="E14" s="2" t="inlineStr">
        <is>
          <t>识别为1200股@150.15</t>
        </is>
      </c>
      <c r="F14" s="2" t="inlineStr">
        <is>
          <t>1200</t>
        </is>
      </c>
      <c r="G14" s="2" t="inlineStr">
        <is>
          <t>150.15</t>
        </is>
      </c>
      <c r="H14" s="2" t="inlineStr">
        <is>
          <t>OCR置信62%</t>
        </is>
      </c>
      <c r="I14" s="2" t="inlineStr">
        <is>
          <t>弃用：转增前快照，与成交单冲突</t>
        </is>
      </c>
    </row>
    <row r="15">
      <c r="A15" s="2" t="inlineStr">
        <is>
          <t>D02</t>
        </is>
      </c>
      <c r="B15" s="2" t="inlineStr">
        <is>
          <t>口述</t>
        </is>
      </c>
      <c r="C15" s="2" t="inlineStr">
        <is>
          <t>2026-09-10</t>
        </is>
      </c>
      <c r="D15" s="2" t="inlineStr">
        <is>
          <t>A成本记忆</t>
        </is>
      </c>
      <c r="E15" s="2" t="inlineStr">
        <is>
          <t>客户称约49.25</t>
        </is>
      </c>
      <c r="F15" s="2" t="inlineStr"/>
      <c r="G15" s="2" t="inlineStr">
        <is>
          <t>49.25</t>
        </is>
      </c>
      <c r="H15" s="2" t="inlineStr">
        <is>
          <t>未经核对</t>
        </is>
      </c>
      <c r="I15" s="2" t="inlineStr">
        <is>
          <t>弃用：按成交单重建为48.05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3.2" customWidth="1" min="1" max="1"/>
    <col width="33" customWidth="1" min="2" max="2"/>
    <col width="12.1" customWidth="1" min="3" max="3"/>
    <col width="22" customWidth="1" min="4" max="4"/>
  </cols>
  <sheetData>
    <row r="1">
      <c r="A1" s="1" t="inlineStr">
        <is>
          <t>项目</t>
        </is>
      </c>
      <c r="B1" s="1" t="inlineStr">
        <is>
          <t>计算</t>
        </is>
      </c>
      <c r="C1" s="1" t="inlineStr">
        <is>
          <t>金额(人民币)</t>
        </is>
      </c>
      <c r="D1" s="1" t="inlineStr">
        <is>
          <t>说明</t>
        </is>
      </c>
    </row>
    <row r="2">
      <c r="A2" s="2" t="inlineStr">
        <is>
          <t>A铜市值</t>
        </is>
      </c>
      <c r="B2" s="2" t="inlineStr">
        <is>
          <t>8000×49.50</t>
        </is>
      </c>
      <c r="C2" s="2" t="n">
        <v>396000</v>
      </c>
      <c r="D2" s="2" t="inlineStr"/>
    </row>
    <row r="3">
      <c r="A3" s="2" t="inlineStr">
        <is>
          <t>B光模块市值</t>
        </is>
      </c>
      <c r="B3" s="2" t="inlineStr">
        <is>
          <t>1800×120.00(停牌前收盘)</t>
        </is>
      </c>
      <c r="C3" s="2" t="n">
        <v>216000</v>
      </c>
      <c r="D3" s="2" t="inlineStr">
        <is>
          <t>不可成交价，仅记账</t>
        </is>
      </c>
    </row>
    <row r="4">
      <c r="A4" s="2" t="inlineStr">
        <is>
          <t>C新能源市值</t>
        </is>
      </c>
      <c r="B4" s="2" t="inlineStr">
        <is>
          <t>1000×60.00</t>
        </is>
      </c>
      <c r="C4" s="2" t="n">
        <v>60000</v>
      </c>
      <c r="D4" s="2" t="inlineStr">
        <is>
          <t>跌停</t>
        </is>
      </c>
    </row>
    <row r="5">
      <c r="A5" s="2" t="inlineStr">
        <is>
          <t>D恒生科技市值</t>
        </is>
      </c>
      <c r="B5" s="2" t="inlineStr">
        <is>
          <t>5000×10.00×0.92</t>
        </is>
      </c>
      <c r="C5" s="2" t="n">
        <v>46000</v>
      </c>
      <c r="D5" s="2" t="inlineStr"/>
    </row>
    <row r="6">
      <c r="A6" s="2" t="inlineStr">
        <is>
          <t>证券市值合计</t>
        </is>
      </c>
      <c r="B6" s="2" t="inlineStr"/>
      <c r="C6" s="2" t="n">
        <v>718000</v>
      </c>
      <c r="D6" s="2" t="inlineStr"/>
    </row>
    <row r="7">
      <c r="A7" s="2" t="inlineStr">
        <is>
          <t>人民币现金</t>
        </is>
      </c>
      <c r="B7" s="2" t="inlineStr"/>
      <c r="C7" s="2" t="n">
        <v>220000</v>
      </c>
      <c r="D7" s="2" t="inlineStr"/>
    </row>
    <row r="8">
      <c r="A8" s="2" t="inlineStr">
        <is>
          <t>港币现金折人民币</t>
        </is>
      </c>
      <c r="B8" s="2" t="inlineStr">
        <is>
          <t>60000×0.92</t>
        </is>
      </c>
      <c r="C8" s="2" t="n">
        <v>55200</v>
      </c>
      <c r="D8" s="2" t="inlineStr"/>
    </row>
    <row r="9">
      <c r="A9" s="2" t="inlineStr">
        <is>
          <t>冻结申购款</t>
        </is>
      </c>
      <c r="B9" s="2" t="inlineStr"/>
      <c r="C9" s="2" t="n">
        <v>16000</v>
      </c>
      <c r="D9" s="2" t="inlineStr"/>
    </row>
    <row r="10">
      <c r="A10" s="2" t="inlineStr">
        <is>
          <t>勾稽总资产</t>
        </is>
      </c>
      <c r="B10" s="2" t="inlineStr">
        <is>
          <t>718000+220000+55200+16000</t>
        </is>
      </c>
      <c r="C10" s="2" t="n">
        <v>1009200</v>
      </c>
      <c r="D10" s="2" t="inlineStr"/>
    </row>
    <row r="11">
      <c r="A11" s="2" t="inlineStr">
        <is>
          <t>券商显示总资产(K04)</t>
        </is>
      </c>
      <c r="B11" s="2" t="inlineStr"/>
      <c r="C11" s="2" t="n">
        <v>1009200</v>
      </c>
      <c r="D11" s="2" t="inlineStr"/>
    </row>
    <row r="12">
      <c r="A12" s="2" t="inlineStr">
        <is>
          <t>勾稽残差</t>
        </is>
      </c>
      <c r="B12" s="2" t="inlineStr"/>
      <c r="C12" s="2" t="n">
        <v>0</v>
      </c>
      <c r="D12" s="2" t="inlineStr">
        <is>
          <t>完全闭合，无未决残差</t>
        </is>
      </c>
    </row>
    <row r="13">
      <c r="A13" s="2" t="inlineStr"/>
      <c r="B13" s="2" t="inlineStr"/>
      <c r="C13" s="2" t="inlineStr"/>
      <c r="D13" s="2" t="inlineStr"/>
    </row>
    <row r="14">
      <c r="A14" s="2" t="inlineStr">
        <is>
          <t>【批次成本重建】</t>
        </is>
      </c>
      <c r="B14" s="2" t="inlineStr"/>
      <c r="C14" s="2" t="inlineStr"/>
      <c r="D14" s="2" t="inlineStr"/>
    </row>
    <row r="15">
      <c r="A15" s="2" t="inlineStr">
        <is>
          <t>A-批1 L01</t>
        </is>
      </c>
      <c r="B15" s="2" t="inlineStr">
        <is>
          <t>4000×45+225</t>
        </is>
      </c>
      <c r="C15" s="2" t="n">
        <v>180225</v>
      </c>
      <c r="D15" s="2" t="inlineStr">
        <is>
          <t>2026-05-08，可卖</t>
        </is>
      </c>
    </row>
    <row r="16">
      <c r="A16" s="2" t="inlineStr">
        <is>
          <t>A-批2 L02</t>
        </is>
      </c>
      <c r="B16" s="2" t="inlineStr">
        <is>
          <t>2000×50+100</t>
        </is>
      </c>
      <c r="C16" s="2" t="n">
        <v>100100</v>
      </c>
      <c r="D16" s="2" t="inlineStr">
        <is>
          <t>2026-07-16，可卖</t>
        </is>
      </c>
    </row>
    <row r="17">
      <c r="A17" s="2" t="inlineStr">
        <is>
          <t>A-批3 L03</t>
        </is>
      </c>
      <c r="B17" s="2" t="inlineStr">
        <is>
          <t>2000×52+104</t>
        </is>
      </c>
      <c r="C17" s="2" t="n">
        <v>104104</v>
      </c>
      <c r="D17" s="2" t="inlineStr">
        <is>
          <t>9/10当日买，T+1(9/11起可卖)</t>
        </is>
      </c>
    </row>
    <row r="18">
      <c r="A18" s="2" t="inlineStr">
        <is>
          <t>A合计成本/每股</t>
        </is>
      </c>
      <c r="B18" s="2" t="inlineStr">
        <is>
          <t>384429/8000</t>
        </is>
      </c>
      <c r="C18" s="2" t="n">
        <v>48.0536</v>
      </c>
      <c r="D18" s="2" t="inlineStr">
        <is>
          <t>重建值；客户记忆49.25弃用</t>
        </is>
      </c>
    </row>
    <row r="19">
      <c r="A19" s="2" t="inlineStr">
        <is>
          <t>B L04+CA01</t>
        </is>
      </c>
      <c r="B19" s="2" t="inlineStr">
        <is>
          <t>1200×150+360=180360；10转5后1800股</t>
        </is>
      </c>
      <c r="C19" s="2" t="n">
        <v>100.2</v>
      </c>
      <c r="D19" s="2" t="inlineStr">
        <is>
          <t>原成本不变；OCR150.15弃用</t>
        </is>
      </c>
    </row>
    <row r="20">
      <c r="A20" s="2" t="inlineStr">
        <is>
          <t>C L05</t>
        </is>
      </c>
      <c r="B20" s="2" t="inlineStr">
        <is>
          <t>1000×68+102</t>
        </is>
      </c>
      <c r="C20" s="2" t="n">
        <v>68.102</v>
      </c>
      <c r="D20" s="2" t="inlineStr">
        <is>
          <t>每股</t>
        </is>
      </c>
    </row>
    <row r="21">
      <c r="A21" s="2" t="inlineStr">
        <is>
          <t>D L06</t>
        </is>
      </c>
      <c r="B21" s="2" t="inlineStr">
        <is>
          <t>(3000×11.6+34.8)×0.94</t>
        </is>
      </c>
      <c r="C21" s="2" t="n">
        <v>32744.71</v>
      </c>
      <c r="D21" s="2" t="inlineStr">
        <is>
          <t>成交日汇率0.94</t>
        </is>
      </c>
    </row>
    <row r="22">
      <c r="A22" s="2" t="inlineStr">
        <is>
          <t>D L07</t>
        </is>
      </c>
      <c r="B22" s="2" t="inlineStr">
        <is>
          <t>(2000×10.8+21.6)×0.93</t>
        </is>
      </c>
      <c r="C22" s="2" t="n">
        <v>20108.09</v>
      </c>
      <c r="D22" s="2" t="inlineStr">
        <is>
          <t>成交日汇率0.93</t>
        </is>
      </c>
    </row>
    <row r="23">
      <c r="A23" s="2" t="inlineStr">
        <is>
          <t>D合计成本/每份</t>
        </is>
      </c>
      <c r="B23" s="2" t="inlineStr">
        <is>
          <t>52852.80/5000</t>
        </is>
      </c>
      <c r="C23" s="2" t="inlineStr">
        <is>
          <t>10.5706 CNY</t>
        </is>
      </c>
      <c r="D23" s="2">
        <f>11.2913 HKD</f>
        <v/>
      </c>
    </row>
    <row r="24">
      <c r="A24" s="2" t="inlineStr"/>
      <c r="B24" s="2" t="inlineStr"/>
      <c r="C24" s="2" t="inlineStr"/>
      <c r="D24" s="2" t="inlineStr"/>
    </row>
    <row r="25">
      <c r="A25" s="2" t="inlineStr">
        <is>
          <t>【未实现盈亏(账面)】</t>
        </is>
      </c>
      <c r="B25" s="2" t="inlineStr"/>
      <c r="C25" s="2" t="inlineStr"/>
      <c r="D25" s="2" t="inlineStr"/>
    </row>
    <row r="26">
      <c r="A26" s="2" t="inlineStr">
        <is>
          <t>A</t>
        </is>
      </c>
      <c r="B26" s="2" t="inlineStr">
        <is>
          <t>396000-384429</t>
        </is>
      </c>
      <c r="C26" s="2" t="n">
        <v>11571</v>
      </c>
      <c r="D26" s="2" t="inlineStr"/>
    </row>
    <row r="27">
      <c r="A27" s="2" t="inlineStr">
        <is>
          <t>B</t>
        </is>
      </c>
      <c r="B27" s="2" t="inlineStr">
        <is>
          <t>216000-180360</t>
        </is>
      </c>
      <c r="C27" s="2" t="n">
        <v>35640</v>
      </c>
      <c r="D27" s="2" t="inlineStr">
        <is>
          <t>停牌价，非可实现</t>
        </is>
      </c>
    </row>
    <row r="28">
      <c r="A28" s="2" t="inlineStr">
        <is>
          <t>C</t>
        </is>
      </c>
      <c r="B28" s="2" t="inlineStr">
        <is>
          <t>60000-68102</t>
        </is>
      </c>
      <c r="C28" s="2" t="n">
        <v>-8102</v>
      </c>
      <c r="D28" s="2" t="inlineStr"/>
    </row>
    <row r="29">
      <c r="A29" s="2" t="inlineStr">
        <is>
          <t>D</t>
        </is>
      </c>
      <c r="B29" s="2" t="inlineStr">
        <is>
          <t>46000-52852.80</t>
        </is>
      </c>
      <c r="C29" s="2" t="n">
        <v>-6852.8</v>
      </c>
      <c r="D29" s="2" t="inlineStr"/>
    </row>
    <row r="30">
      <c r="A30" s="2" t="inlineStr">
        <is>
          <t>合计</t>
        </is>
      </c>
      <c r="B30" s="2" t="inlineStr"/>
      <c r="C30" s="2" t="n">
        <v>32256.2</v>
      </c>
      <c r="D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.1" customWidth="1" min="4" max="4"/>
    <col width="20.9" customWidth="1" min="5" max="5"/>
    <col width="26.4" customWidth="1" min="6" max="6"/>
  </cols>
  <sheetData>
    <row r="1">
      <c r="A1" s="1" t="inlineStr">
        <is>
          <t>日历日</t>
        </is>
      </c>
      <c r="B1" s="1" t="inlineStr">
        <is>
          <t>星期</t>
        </is>
      </c>
      <c r="C1" s="1" t="inlineStr">
        <is>
          <t>是否交易日</t>
        </is>
      </c>
      <c r="D1" s="1" t="inlineStr">
        <is>
          <t>可执行时段</t>
        </is>
      </c>
      <c r="E1" s="1" t="inlineStr">
        <is>
          <t>资金可用/可划转</t>
        </is>
      </c>
      <c r="F1" s="1" t="inlineStr">
        <is>
          <t>备注</t>
        </is>
      </c>
    </row>
    <row r="2">
      <c r="A2" s="2" t="inlineStr">
        <is>
          <t>2026-09-10</t>
        </is>
      </c>
      <c r="B2" s="2" t="inlineStr">
        <is>
          <t>周四</t>
        </is>
      </c>
      <c r="C2" s="2" t="inlineStr">
        <is>
          <t>是</t>
        </is>
      </c>
      <c r="D2" s="2" t="inlineStr">
        <is>
          <t>14:20后约40分钟</t>
        </is>
      </c>
      <c r="E2" s="2" t="inlineStr">
        <is>
          <t>人民币可用；港币需换汇；冻结不可用</t>
        </is>
      </c>
      <c r="F2" s="2" t="inlineStr">
        <is>
          <t>审阅日；B停牌；C跌停；A今日买2000股T+1</t>
        </is>
      </c>
    </row>
    <row r="3">
      <c r="A3" s="2" t="inlineStr">
        <is>
          <t>2026-09-11</t>
        </is>
      </c>
      <c r="B3" s="2" t="inlineStr">
        <is>
          <t>周五</t>
        </is>
      </c>
      <c r="C3" s="2" t="inlineStr">
        <is>
          <t>是</t>
        </is>
      </c>
      <c r="D3" s="2" t="inlineStr">
        <is>
          <t>全日</t>
        </is>
      </c>
      <c r="E3" s="2" t="inlineStr">
        <is>
          <t>A的2000股T+1解冻；冻结款未到</t>
        </is>
      </c>
      <c r="F3" s="2" t="inlineStr">
        <is>
          <t>Day2</t>
        </is>
      </c>
    </row>
    <row r="4">
      <c r="A4" s="2" t="inlineStr">
        <is>
          <t>2026-09-12</t>
        </is>
      </c>
      <c r="B4" s="2" t="inlineStr">
        <is>
          <t>周六</t>
        </is>
      </c>
      <c r="C4" s="2" t="inlineStr">
        <is>
          <t>否</t>
        </is>
      </c>
      <c r="D4" s="2" t="inlineStr">
        <is>
          <t>—</t>
        </is>
      </c>
      <c r="E4" s="2" t="inlineStr"/>
      <c r="F4" s="2" t="inlineStr">
        <is>
          <t>冻结款预计解冻(周末)</t>
        </is>
      </c>
    </row>
    <row r="5">
      <c r="A5" s="2" t="inlineStr">
        <is>
          <t>2026-09-13</t>
        </is>
      </c>
      <c r="B5" s="2" t="inlineStr">
        <is>
          <t>周日</t>
        </is>
      </c>
      <c r="C5" s="2" t="inlineStr">
        <is>
          <t>否</t>
        </is>
      </c>
      <c r="D5" s="2" t="inlineStr">
        <is>
          <t>—</t>
        </is>
      </c>
      <c r="E5" s="2" t="inlineStr"/>
      <c r="F5" s="2" t="inlineStr"/>
    </row>
    <row r="6">
      <c r="A6" s="2" t="inlineStr">
        <is>
          <t>2026-09-14</t>
        </is>
      </c>
      <c r="B6" s="2" t="inlineStr">
        <is>
          <t>周一</t>
        </is>
      </c>
      <c r="C6" s="2" t="inlineStr">
        <is>
          <t>是</t>
        </is>
      </c>
      <c r="D6" s="2" t="inlineStr">
        <is>
          <t>全日</t>
        </is>
      </c>
      <c r="E6" s="2" t="inlineStr">
        <is>
          <t>冻结款16000到账；卖D港币仍需换汇</t>
        </is>
      </c>
      <c r="F6" s="2" t="inlineStr">
        <is>
          <t>Day3；B可能复牌</t>
        </is>
      </c>
    </row>
    <row r="7">
      <c r="A7" s="2" t="inlineStr">
        <is>
          <t>2026-09-15</t>
        </is>
      </c>
      <c r="B7" s="2" t="inlineStr">
        <is>
          <t>周二</t>
        </is>
      </c>
      <c r="C7" s="2" t="inlineStr">
        <is>
          <t>是</t>
        </is>
      </c>
      <c r="D7" s="2" t="inlineStr">
        <is>
          <t>全日</t>
        </is>
      </c>
      <c r="E7" s="2" t="inlineStr"/>
      <c r="F7" s="2" t="inlineStr">
        <is>
          <t>B复牌最早观察日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.1" customWidth="1" min="1" max="1"/>
    <col width="12" customWidth="1" min="2" max="2"/>
    <col width="13.2" customWidth="1" min="3" max="3"/>
    <col width="15.4" customWidth="1" min="4" max="4"/>
    <col width="14.3" customWidth="1" min="5" max="5"/>
    <col width="13.2" customWidth="1" min="6" max="6"/>
    <col width="12" customWidth="1" min="7" max="7"/>
    <col width="12" customWidth="1" min="8" max="8"/>
  </cols>
  <sheetData>
    <row r="1">
      <c r="A1" s="1" t="inlineStr">
        <is>
          <t>约束</t>
        </is>
      </c>
      <c r="B1" s="1" t="inlineStr">
        <is>
          <t>阈值</t>
        </is>
      </c>
      <c r="C1" s="1" t="inlineStr">
        <is>
          <t>当前值</t>
        </is>
      </c>
      <c r="D1" s="1" t="inlineStr">
        <is>
          <t>反解达标值</t>
        </is>
      </c>
      <c r="E1" s="1" t="inlineStr">
        <is>
          <t>主路径后(最坏:C不成交)</t>
        </is>
      </c>
      <c r="F1" s="1" t="inlineStr">
        <is>
          <t>偏好路径后(C成交)</t>
        </is>
      </c>
      <c r="G1" s="1" t="inlineStr">
        <is>
          <t>判定</t>
        </is>
      </c>
      <c r="H1" s="1" t="inlineStr">
        <is>
          <t>规则号</t>
        </is>
      </c>
    </row>
    <row r="2">
      <c r="A2" s="2" t="inlineStr">
        <is>
          <t>风险资产仓位</t>
        </is>
      </c>
      <c r="B2" s="2" t="inlineStr">
        <is>
          <t>≤70%</t>
        </is>
      </c>
      <c r="C2" s="2" t="inlineStr">
        <is>
          <t>71.15%</t>
        </is>
      </c>
      <c r="D2" s="2" t="inlineStr">
        <is>
          <t>卖A即降</t>
        </is>
      </c>
      <c r="E2" s="2" t="inlineStr">
        <is>
          <t>44.53%</t>
        </is>
      </c>
      <c r="F2" s="2" t="inlineStr">
        <is>
          <t>约43%</t>
        </is>
      </c>
      <c r="G2" s="2" t="inlineStr">
        <is>
          <t>达标</t>
        </is>
      </c>
      <c r="H2" s="2" t="inlineStr">
        <is>
          <t>R1/R3</t>
        </is>
      </c>
    </row>
    <row r="3">
      <c r="A3" s="2" t="inlineStr">
        <is>
          <t>单票A集中度</t>
        </is>
      </c>
      <c r="B3" s="2" t="inlineStr">
        <is>
          <t>≤22%</t>
        </is>
      </c>
      <c r="C3" s="2" t="inlineStr">
        <is>
          <t>39.24%</t>
        </is>
      </c>
      <c r="D3" s="2" t="inlineStr">
        <is>
          <t>卖≥3515股→整手3600</t>
        </is>
      </c>
      <c r="E3" s="2" t="inlineStr">
        <is>
          <t>余3300=16.2%</t>
        </is>
      </c>
      <c r="F3" s="2" t="inlineStr">
        <is>
          <t>余4300=21.1%</t>
        </is>
      </c>
      <c r="G3" s="2" t="inlineStr">
        <is>
          <t>达标</t>
        </is>
      </c>
      <c r="H3" s="2" t="inlineStr">
        <is>
          <t>R1</t>
        </is>
      </c>
    </row>
    <row r="4">
      <c r="A4" s="2" t="inlineStr">
        <is>
          <t>主题/资源(铜)</t>
        </is>
      </c>
      <c r="B4" s="2" t="inlineStr">
        <is>
          <t>≤35%</t>
        </is>
      </c>
      <c r="C4" s="2" t="inlineStr">
        <is>
          <t>39.24%</t>
        </is>
      </c>
      <c r="D4" s="2" t="inlineStr">
        <is>
          <t>同A</t>
        </is>
      </c>
      <c r="E4" s="2" t="inlineStr">
        <is>
          <t>16.2%</t>
        </is>
      </c>
      <c r="F4" s="2" t="inlineStr">
        <is>
          <t>21.1%</t>
        </is>
      </c>
      <c r="G4" s="2" t="inlineStr">
        <is>
          <t>达标</t>
        </is>
      </c>
      <c r="H4" s="2" t="inlineStr">
        <is>
          <t>R1</t>
        </is>
      </c>
    </row>
    <row r="5">
      <c r="A5" s="2" t="inlineStr">
        <is>
          <t>成长科技聚集B+C+D</t>
        </is>
      </c>
      <c r="B5" s="2" t="inlineStr">
        <is>
          <t>≤35%(推断)</t>
        </is>
      </c>
      <c r="C5" s="2" t="inlineStr">
        <is>
          <t>31.91%</t>
        </is>
      </c>
      <c r="D5" s="2" t="inlineStr">
        <is>
          <t>B锁，卖C/D后约21.4%</t>
        </is>
      </c>
      <c r="E5" s="2" t="inlineStr">
        <is>
          <t>B=21.4%锁</t>
        </is>
      </c>
      <c r="F5" s="2" t="inlineStr">
        <is>
          <t>B=21.4%锁</t>
        </is>
      </c>
      <c r="G5" s="2" t="inlineStr">
        <is>
          <t>临界监控</t>
        </is>
      </c>
      <c r="H5" s="2" t="inlineStr">
        <is>
          <t>R2/R3+复牌</t>
        </is>
      </c>
    </row>
    <row r="6">
      <c r="A6" s="2" t="inlineStr">
        <is>
          <t>未对冲外币敞口</t>
        </is>
      </c>
      <c r="B6" s="2" t="inlineStr">
        <is>
          <t>≤25%</t>
        </is>
      </c>
      <c r="C6" s="2" t="inlineStr">
        <is>
          <t>10.03%</t>
        </is>
      </c>
      <c r="D6" s="2" t="inlineStr">
        <is>
          <t>无需</t>
        </is>
      </c>
      <c r="E6" s="2" t="inlineStr">
        <is>
          <t>10.03%</t>
        </is>
      </c>
      <c r="F6" s="2" t="inlineStr">
        <is>
          <t>10.03%</t>
        </is>
      </c>
      <c r="G6" s="2" t="inlineStr">
        <is>
          <t>达标</t>
        </is>
      </c>
      <c r="H6" s="2" t="inlineStr">
        <is>
          <t>—</t>
        </is>
      </c>
    </row>
    <row r="7">
      <c r="A7" s="2" t="inlineStr">
        <is>
          <t>自由现金(人民币口径)</t>
        </is>
      </c>
      <c r="B7" s="2" t="inlineStr">
        <is>
          <t>≥25%</t>
        </is>
      </c>
      <c r="C7" s="2" t="inlineStr">
        <is>
          <t>21.80%</t>
        </is>
      </c>
      <c r="D7" s="2" t="inlineStr">
        <is>
          <t>卖A补足</t>
        </is>
      </c>
      <c r="E7" s="2" t="inlineStr">
        <is>
          <t>44.9%</t>
        </is>
      </c>
      <c r="F7" s="2" t="inlineStr">
        <is>
          <t>约43%</t>
        </is>
      </c>
      <c r="G7" s="2" t="inlineStr">
        <is>
          <t>达标</t>
        </is>
      </c>
      <c r="H7" s="2" t="inlineStr">
        <is>
          <t>R1</t>
        </is>
      </c>
    </row>
    <row r="8">
      <c r="A8" s="2" t="inlineStr">
        <is>
          <t>自由现金(含港币)</t>
        </is>
      </c>
      <c r="B8" s="2" t="inlineStr">
        <is>
          <t>≥25%</t>
        </is>
      </c>
      <c r="C8" s="2" t="inlineStr">
        <is>
          <t>27.27%</t>
        </is>
      </c>
      <c r="D8" s="2" t="inlineStr">
        <is>
          <t>已达标</t>
        </is>
      </c>
      <c r="E8" s="2" t="inlineStr">
        <is>
          <t>更高</t>
        </is>
      </c>
      <c r="F8" s="2" t="inlineStr">
        <is>
          <t>更高</t>
        </is>
      </c>
      <c r="G8" s="2" t="inlineStr">
        <is>
          <t>达标</t>
        </is>
      </c>
      <c r="H8" s="2" t="inlineStr">
        <is>
          <t>—</t>
        </is>
      </c>
    </row>
    <row r="9">
      <c r="A9" s="2" t="inlineStr">
        <is>
          <t>一周压力损失</t>
        </is>
      </c>
      <c r="B9" s="2" t="inlineStr">
        <is>
          <t>≤6%=60552</t>
        </is>
      </c>
      <c r="C9" s="2" t="inlineStr">
        <is>
          <t>91550(9.07%)</t>
        </is>
      </c>
      <c r="D9" s="2" t="inlineStr">
        <is>
          <t>压到≤60552</t>
        </is>
      </c>
      <c r="E9" s="2" t="inlineStr">
        <is>
          <t>60294(5.98%)</t>
        </is>
      </c>
      <c r="F9" s="2" t="inlineStr">
        <is>
          <t>59966(5.94%)</t>
        </is>
      </c>
      <c r="G9" s="2" t="inlineStr">
        <is>
          <t>不动作FAIL</t>
        </is>
      </c>
      <c r="H9" s="2" t="inlineStr">
        <is>
          <t>R1+R2+R3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.3" customWidth="1" min="2" max="2"/>
    <col width="12.1" customWidth="1" min="3" max="3"/>
    <col width="12.1" customWidth="1" min="4" max="4"/>
    <col width="13.2" customWidth="1" min="5" max="5"/>
  </cols>
  <sheetData>
    <row r="1">
      <c r="A1" s="1" t="inlineStr">
        <is>
          <t>指标</t>
        </is>
      </c>
      <c r="B1" s="1" t="inlineStr">
        <is>
          <t>不调整现状</t>
        </is>
      </c>
      <c r="C1" s="1" t="inlineStr">
        <is>
          <t>偏好路径(C成交)</t>
        </is>
      </c>
      <c r="D1" s="1" t="inlineStr">
        <is>
          <t>合规主路径(C不成交)</t>
        </is>
      </c>
      <c r="E1" s="1" t="inlineStr">
        <is>
          <t>说明</t>
        </is>
      </c>
    </row>
    <row r="2">
      <c r="A2" s="2" t="inlineStr">
        <is>
          <t>卖A(股)</t>
        </is>
      </c>
      <c r="B2" s="2" t="inlineStr">
        <is>
          <t>0</t>
        </is>
      </c>
      <c r="C2" s="2" t="inlineStr">
        <is>
          <t>3700</t>
        </is>
      </c>
      <c r="D2" s="2" t="inlineStr">
        <is>
          <t>4700</t>
        </is>
      </c>
      <c r="E2" s="2" t="inlineStr">
        <is>
          <t>本阶段追加；基准8000</t>
        </is>
      </c>
    </row>
    <row r="3">
      <c r="A3" s="2" t="inlineStr">
        <is>
          <t>卖C(股)</t>
        </is>
      </c>
      <c r="B3" s="2" t="inlineStr">
        <is>
          <t>0</t>
        </is>
      </c>
      <c r="C3" s="2" t="inlineStr">
        <is>
          <t>1000</t>
        </is>
      </c>
      <c r="D3" s="2" t="inlineStr">
        <is>
          <t>0(跌停难成交)</t>
        </is>
      </c>
      <c r="E3" s="2" t="inlineStr"/>
    </row>
    <row r="4">
      <c r="A4" s="2" t="inlineStr">
        <is>
          <t>卖D(份)</t>
        </is>
      </c>
      <c r="B4" s="2" t="inlineStr">
        <is>
          <t>0</t>
        </is>
      </c>
      <c r="C4" s="2" t="inlineStr">
        <is>
          <t>5000</t>
        </is>
      </c>
      <c r="D4" s="2" t="inlineStr">
        <is>
          <t>5000</t>
        </is>
      </c>
      <c r="E4" s="2" t="inlineStr">
        <is>
          <t>T+0，得港币</t>
        </is>
      </c>
    </row>
    <row r="5">
      <c r="A5" s="2" t="inlineStr">
        <is>
          <t>A余股/权重</t>
        </is>
      </c>
      <c r="B5" s="2" t="inlineStr">
        <is>
          <t>8000/39.24%</t>
        </is>
      </c>
      <c r="C5" s="2" t="inlineStr">
        <is>
          <t>4300/21.1%</t>
        </is>
      </c>
      <c r="D5" s="2" t="inlineStr">
        <is>
          <t>3300/16.2%</t>
        </is>
      </c>
      <c r="E5" s="2" t="inlineStr"/>
    </row>
    <row r="6">
      <c r="A6" s="2" t="inlineStr">
        <is>
          <t>风险资产权重</t>
        </is>
      </c>
      <c r="B6" s="2" t="inlineStr">
        <is>
          <t>71.15%</t>
        </is>
      </c>
      <c r="C6" s="2" t="inlineStr">
        <is>
          <t>约43%</t>
        </is>
      </c>
      <c r="D6" s="2" t="inlineStr">
        <is>
          <t>44.5%</t>
        </is>
      </c>
      <c r="E6" s="2" t="inlineStr"/>
    </row>
    <row r="7">
      <c r="A7" s="2" t="inlineStr">
        <is>
          <t>人民币可用现金</t>
        </is>
      </c>
      <c r="B7" s="2" t="inlineStr">
        <is>
          <t>220000(21.8%)</t>
        </is>
      </c>
      <c r="C7" s="2" t="inlineStr">
        <is>
          <t>约39.4万</t>
        </is>
      </c>
      <c r="D7" s="2" t="inlineStr">
        <is>
          <t>约45.2万</t>
        </is>
      </c>
      <c r="E7" s="2" t="inlineStr">
        <is>
          <t>卖A净回笼</t>
        </is>
      </c>
    </row>
    <row r="8">
      <c r="A8" s="2" t="inlineStr">
        <is>
          <t>压力损失/率</t>
        </is>
      </c>
      <c r="B8" s="2" t="inlineStr">
        <is>
          <t>91550/9.07%</t>
        </is>
      </c>
      <c r="C8" s="2" t="inlineStr">
        <is>
          <t>59966/5.94%</t>
        </is>
      </c>
      <c r="D8" s="2" t="inlineStr">
        <is>
          <t>60294/5.98%</t>
        </is>
      </c>
      <c r="E8" s="2" t="inlineStr">
        <is>
          <t>B锁死32400</t>
        </is>
      </c>
    </row>
    <row r="9">
      <c r="A9" s="2" t="inlineStr">
        <is>
          <t>单票A</t>
        </is>
      </c>
      <c r="B9" s="2" t="inlineStr">
        <is>
          <t>FAIL</t>
        </is>
      </c>
      <c r="C9" s="2" t="inlineStr">
        <is>
          <t>PASS</t>
        </is>
      </c>
      <c r="D9" s="2" t="inlineStr">
        <is>
          <t>PASS</t>
        </is>
      </c>
      <c r="E9" s="2" t="inlineStr"/>
    </row>
    <row r="10">
      <c r="A10" s="2" t="inlineStr">
        <is>
          <t>一周压力≤6%</t>
        </is>
      </c>
      <c r="B10" s="2" t="inlineStr">
        <is>
          <t>FAIL</t>
        </is>
      </c>
      <c r="C10" s="2" t="inlineStr">
        <is>
          <t>PASS</t>
        </is>
      </c>
      <c r="D10" s="2" t="inlineStr">
        <is>
          <t>PASS</t>
        </is>
      </c>
      <c r="E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  <col width="13.2" customWidth="1" min="9" max="9"/>
  </cols>
  <sheetData>
    <row r="1">
      <c r="A1" s="1" t="inlineStr">
        <is>
          <t>交易</t>
        </is>
      </c>
      <c r="B1" s="1" t="inlineStr">
        <is>
          <t>数量</t>
        </is>
      </c>
      <c r="C1" s="1" t="inlineStr">
        <is>
          <t>价格</t>
        </is>
      </c>
      <c r="D1" s="1" t="inlineStr">
        <is>
          <t>成交额</t>
        </is>
      </c>
      <c r="E1" s="1" t="inlineStr">
        <is>
          <t>费率</t>
        </is>
      </c>
      <c r="F1" s="1" t="inlineStr">
        <is>
          <t>费用</t>
        </is>
      </c>
      <c r="G1" s="1" t="inlineStr">
        <is>
          <t>净回笼</t>
        </is>
      </c>
      <c r="H1" s="1" t="inlineStr">
        <is>
          <t>实现盈亏(扣费后)</t>
        </is>
      </c>
      <c r="I1" s="1" t="inlineStr">
        <is>
          <t>可卖性</t>
        </is>
      </c>
    </row>
    <row r="2">
      <c r="A2" s="2" t="inlineStr">
        <is>
          <t>卖A(主路径)</t>
        </is>
      </c>
      <c r="B2" s="2" t="inlineStr">
        <is>
          <t>4700股</t>
        </is>
      </c>
      <c r="C2" s="2" t="inlineStr">
        <is>
          <t>约49.50</t>
        </is>
      </c>
      <c r="D2" s="2" t="inlineStr">
        <is>
          <t>232650</t>
        </is>
      </c>
      <c r="E2" s="2" t="inlineStr">
        <is>
          <t>0.10%</t>
        </is>
      </c>
      <c r="F2" s="2" t="n">
        <v>233</v>
      </c>
      <c r="G2" s="2" t="inlineStr">
        <is>
          <t>人民币232417</t>
        </is>
      </c>
      <c r="H2" s="2" t="inlineStr">
        <is>
          <t>FIFO:4000×4.5+700×(-0.5)-233=17417</t>
        </is>
      </c>
      <c r="I2" s="2" t="inlineStr">
        <is>
          <t>今日6000可卖中划拨</t>
        </is>
      </c>
    </row>
    <row r="3">
      <c r="A3" s="2" t="inlineStr">
        <is>
          <t>卖A(偏好路径)</t>
        </is>
      </c>
      <c r="B3" s="2" t="inlineStr">
        <is>
          <t>3700股</t>
        </is>
      </c>
      <c r="C3" s="2" t="inlineStr">
        <is>
          <t>约49.50</t>
        </is>
      </c>
      <c r="D3" s="2" t="inlineStr">
        <is>
          <t>183150</t>
        </is>
      </c>
      <c r="E3" s="2" t="inlineStr">
        <is>
          <t>0.10%</t>
        </is>
      </c>
      <c r="F3" s="2" t="n">
        <v>183</v>
      </c>
      <c r="G3" s="2" t="inlineStr">
        <is>
          <t>人民币182967</t>
        </is>
      </c>
      <c r="H3" s="2" t="inlineStr">
        <is>
          <t>3700×4.5-183=16467</t>
        </is>
      </c>
      <c r="I3" s="2" t="inlineStr">
        <is>
          <t>同上</t>
        </is>
      </c>
    </row>
    <row r="4">
      <c r="A4" s="2" t="inlineStr">
        <is>
          <t>卖C</t>
        </is>
      </c>
      <c r="B4" s="2" t="inlineStr">
        <is>
          <t>1000股</t>
        </is>
      </c>
      <c r="C4" s="2" t="inlineStr">
        <is>
          <t>跌停60.00</t>
        </is>
      </c>
      <c r="D4" s="2" t="inlineStr">
        <is>
          <t>60000</t>
        </is>
      </c>
      <c r="E4" s="2" t="inlineStr">
        <is>
          <t>0.10%</t>
        </is>
      </c>
      <c r="F4" s="2" t="n">
        <v>60</v>
      </c>
      <c r="G4" s="2" t="inlineStr">
        <is>
          <t>人民币59940</t>
        </is>
      </c>
      <c r="H4" s="2" t="inlineStr">
        <is>
          <t>(60-68.102)×1000-60=-8162</t>
        </is>
      </c>
      <c r="I4" s="2" t="inlineStr">
        <is>
          <t>跌停可挂单不保证成交</t>
        </is>
      </c>
    </row>
    <row r="5">
      <c r="A5" s="2" t="inlineStr">
        <is>
          <t>卖D</t>
        </is>
      </c>
      <c r="B5" s="2" t="inlineStr">
        <is>
          <t>5000份</t>
        </is>
      </c>
      <c r="C5" s="2" t="inlineStr">
        <is>
          <t>约10.00港币</t>
        </is>
      </c>
      <c r="D5" s="2" t="inlineStr">
        <is>
          <t>50000港币</t>
        </is>
      </c>
      <c r="E5" s="2" t="inlineStr">
        <is>
          <t>0.10%</t>
        </is>
      </c>
      <c r="F5" s="2" t="inlineStr">
        <is>
          <t>50港币</t>
        </is>
      </c>
      <c r="G5" s="2" t="inlineStr">
        <is>
          <t>港币49950</t>
        </is>
      </c>
      <c r="H5" s="2" t="inlineStr">
        <is>
          <t>(10-11.2913)×5000-50港币=-6506港币</t>
        </is>
      </c>
      <c r="I5" s="2" t="inlineStr">
        <is>
          <t>T+0；换汇前不能买A股</t>
        </is>
      </c>
    </row>
    <row r="6">
      <c r="A6" s="2" t="inlineStr">
        <is>
          <t>费用假设</t>
        </is>
      </c>
      <c r="B6" s="2" t="inlineStr"/>
      <c r="C6" s="2" t="inlineStr"/>
      <c r="D6" s="2" t="inlineStr"/>
      <c r="E6" s="2" t="inlineStr">
        <is>
          <t>0.10%</t>
        </is>
      </c>
      <c r="F6" s="2" t="inlineStr"/>
      <c r="G6" s="2" t="inlineStr"/>
      <c r="H6" s="2" t="inlineStr">
        <is>
          <t>取自L02/L03/L06/L07一致费率；卖出印花税/滑点材料未提供(D03)未计；若另收约0.05%印花税净回笼略降，不改整手</t>
        </is>
      </c>
      <c r="I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26.4" customWidth="1" min="2" max="2"/>
    <col width="17.6" customWidth="1" min="3" max="3"/>
    <col width="33" customWidth="1" min="4" max="4"/>
    <col width="23.1" customWidth="1" min="5" max="5"/>
    <col width="12" customWidth="1" min="6" max="6"/>
    <col width="15.4" customWidth="1" min="7" max="7"/>
    <col width="20.9" customWidth="1" min="8" max="8"/>
    <col width="28.6" customWidth="1" min="9" max="9"/>
    <col width="12" customWidth="1" min="10" max="10"/>
  </cols>
  <sheetData>
    <row r="1">
      <c r="A1" s="1" t="inlineStr">
        <is>
          <t>规则号</t>
        </is>
      </c>
      <c r="B1" s="1" t="inlineStr">
        <is>
          <t>触发条件(阈值+时点)</t>
        </is>
      </c>
      <c r="C1" s="1" t="inlineStr">
        <is>
          <t>方向自检</t>
        </is>
      </c>
      <c r="D1" s="1" t="inlineStr">
        <is>
          <t>动作</t>
        </is>
      </c>
      <c r="E1" s="1" t="inlineStr">
        <is>
          <t>数量及口径</t>
        </is>
      </c>
      <c r="F1" s="1" t="inlineStr">
        <is>
          <t>目标权重</t>
        </is>
      </c>
      <c r="G1" s="1" t="inlineStr">
        <is>
          <t>费用/净回笼</t>
        </is>
      </c>
      <c r="H1" s="1" t="inlineStr">
        <is>
          <t>执行时点</t>
        </is>
      </c>
      <c r="I1" s="1" t="inlineStr">
        <is>
          <t>未成交后手</t>
        </is>
      </c>
      <c r="J1" s="1" t="inlineStr">
        <is>
          <t>成交后复核</t>
        </is>
      </c>
    </row>
    <row r="2">
      <c r="A2" s="2" t="inlineStr">
        <is>
          <t>R1</t>
        </is>
      </c>
      <c r="B2" s="2" t="inlineStr">
        <is>
          <t>9/10 14:25起A非跌停；A权重仍&gt;22%</t>
        </is>
      </c>
      <c r="C2" s="2" t="inlineStr">
        <is>
          <t>A下跌不降低权重，触发与涨跌无关</t>
        </is>
      </c>
      <c r="D2" s="2" t="inlineStr">
        <is>
          <t>卖出A</t>
        </is>
      </c>
      <c r="E2" s="2" t="inlineStr">
        <is>
          <t>追加4700股(基准8000，余3300)</t>
        </is>
      </c>
      <c r="F2" s="2" t="inlineStr">
        <is>
          <t>A≤17%</t>
        </is>
      </c>
      <c r="G2" s="2" t="inlineStr">
        <is>
          <t>费233/净232417</t>
        </is>
      </c>
      <c r="H2" s="2" t="inlineStr">
        <is>
          <t>9/10尾盘限价49.00-49.50</t>
        </is>
      </c>
      <c r="I2" s="2" t="inlineStr">
        <is>
          <t>部分成交差额9/11补；当日买2000股T+1不可卖</t>
        </is>
      </c>
      <c r="J2" s="2" t="inlineStr">
        <is>
          <t>A权重、压力损失</t>
        </is>
      </c>
    </row>
    <row r="3">
      <c r="A3" s="2" t="inlineStr">
        <is>
          <t>R2</t>
        </is>
      </c>
      <c r="B3" s="2" t="inlineStr">
        <is>
          <t>9/10 14:30后C买一出现有效承接</t>
        </is>
      </c>
      <c r="C3" s="2" t="inlineStr">
        <is>
          <t>触发=可成交性而非价格方向</t>
        </is>
      </c>
      <c r="D3" s="2" t="inlineStr">
        <is>
          <t>卖出C</t>
        </is>
      </c>
      <c r="E3" s="2" t="inlineStr">
        <is>
          <t>追加1000股</t>
        </is>
      </c>
      <c r="F3" s="2" t="inlineStr">
        <is>
          <t>C→0</t>
        </is>
      </c>
      <c r="G3" s="2" t="inlineStr">
        <is>
          <t>费60/净59940</t>
        </is>
      </c>
      <c r="H3" s="2" t="inlineStr">
        <is>
          <t>9/10限价60.00</t>
        </is>
      </c>
      <c r="I3" s="2" t="inlineStr">
        <is>
          <t>14:55仍封死则撤单不追，转R1b</t>
        </is>
      </c>
      <c r="J3" s="2" t="inlineStr">
        <is>
          <t>压力损失降约6000</t>
        </is>
      </c>
    </row>
    <row r="4">
      <c r="A4" s="2" t="inlineStr">
        <is>
          <t>R1b后手</t>
        </is>
      </c>
      <c r="B4" s="2" t="inlineStr">
        <is>
          <t>9/11开盘若R2未成交且压力&gt;60552</t>
        </is>
      </c>
      <c r="C4" s="2" t="inlineStr">
        <is>
          <t>补C缺位缺口</t>
        </is>
      </c>
      <c r="D4" s="2" t="inlineStr">
        <is>
          <t>追加卖A</t>
        </is>
      </c>
      <c r="E4" s="2" t="inlineStr">
        <is>
          <t>再加1000股(累计4700)</t>
        </is>
      </c>
      <c r="F4" s="2" t="inlineStr">
        <is>
          <t>A≤17%</t>
        </is>
      </c>
      <c r="G4" s="2" t="inlineStr">
        <is>
          <t>费50/净49500</t>
        </is>
      </c>
      <c r="H4" s="2" t="inlineStr">
        <is>
          <t>9/11 9:35后</t>
        </is>
      </c>
      <c r="I4" s="2" t="inlineStr">
        <is>
          <t>A跌停则顺延9/14</t>
        </is>
      </c>
      <c r="J4" s="2" t="inlineStr">
        <is>
          <t>压力≤60552</t>
        </is>
      </c>
    </row>
    <row r="5">
      <c r="A5" s="2" t="inlineStr">
        <is>
          <t>R3</t>
        </is>
      </c>
      <c r="B5" s="2" t="inlineStr">
        <is>
          <t>9/10 14:25起D可交易</t>
        </is>
      </c>
      <c r="C5" s="2" t="inlineStr">
        <is>
          <t>D跌不改外币/压力约束</t>
        </is>
      </c>
      <c r="D5" s="2" t="inlineStr">
        <is>
          <t>卖出D</t>
        </is>
      </c>
      <c r="E5" s="2" t="inlineStr">
        <is>
          <t>追加5000份(全部)</t>
        </is>
      </c>
      <c r="F5" s="2" t="inlineStr">
        <is>
          <t>D→0；港币现金增</t>
        </is>
      </c>
      <c r="G5" s="2" t="inlineStr">
        <is>
          <t>费50港币/净49950港币</t>
        </is>
      </c>
      <c r="H5" s="2" t="inlineStr">
        <is>
          <t>9/10 T+0</t>
        </is>
      </c>
      <c r="I5" s="2" t="inlineStr">
        <is>
          <t>D停牌顺延；港币换汇前不可买A股</t>
        </is>
      </c>
      <c r="J5" s="2" t="inlineStr">
        <is>
          <t>外币≤25%</t>
        </is>
      </c>
    </row>
    <row r="6">
      <c r="A6" s="2" t="inlineStr">
        <is>
          <t>R4</t>
        </is>
      </c>
      <c r="B6" s="2" t="inlineStr">
        <is>
          <t>A跌破46.80或反弹至52.00</t>
        </is>
      </c>
      <c r="C6" s="2" t="inlineStr">
        <is>
          <t>破位=恶化，压力=减仓窗</t>
        </is>
      </c>
      <c r="D6" s="2" t="inlineStr">
        <is>
          <t>不加仓/不回补；已卖不追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持续</t>
        </is>
      </c>
      <c r="I6" s="2" t="inlineStr">
        <is>
          <t>停牌/涨跌停委托记0转后手</t>
        </is>
      </c>
      <c r="J6" s="2" t="inlineStr">
        <is>
          <t>超限期禁止加仓做T</t>
        </is>
      </c>
    </row>
    <row r="7">
      <c r="A7" s="2" t="inlineStr">
        <is>
          <t>R5</t>
        </is>
      </c>
      <c r="B7" s="2" t="inlineStr">
        <is>
          <t>B复牌首日(预计≤9/17)</t>
        </is>
      </c>
      <c r="C7" s="2" t="inlineStr">
        <is>
          <t>复牌方向未知，不假设上涨</t>
        </is>
      </c>
      <c r="D7" s="2" t="inlineStr">
        <is>
          <t>重算B权重/相关性/压力；超22%或压力&gt;6%按整手网格减B</t>
        </is>
      </c>
      <c r="E7" s="2" t="inlineStr">
        <is>
          <t>按当时价反解整手</t>
        </is>
      </c>
      <c r="F7" s="2" t="inlineStr">
        <is>
          <t>B≤22%</t>
        </is>
      </c>
      <c r="G7" s="2" t="inlineStr">
        <is>
          <t>另算</t>
        </is>
      </c>
      <c r="H7" s="2" t="inlineStr">
        <is>
          <t>复牌首日</t>
        </is>
      </c>
      <c r="I7" s="2" t="inlineStr">
        <is>
          <t>停牌/跌停顺延</t>
        </is>
      </c>
      <c r="J7" s="2" t="inlineStr">
        <is>
          <t>约束回限前不加仓</t>
        </is>
      </c>
    </row>
    <row r="8">
      <c r="A8" s="2" t="inlineStr">
        <is>
          <t>R6</t>
        </is>
      </c>
      <c r="B8" s="2" t="inlineStr">
        <is>
          <t>9/14冻结款16000到账</t>
        </is>
      </c>
      <c r="C8" s="2" t="inlineStr">
        <is>
          <t>到账不改风险约束</t>
        </is>
      </c>
      <c r="D8" s="2" t="inlineStr">
        <is>
          <t>不用于加仓风险资产</t>
        </is>
      </c>
      <c r="E8" s="2" t="inlineStr">
        <is>
          <t>—</t>
        </is>
      </c>
      <c r="F8" s="2" t="inlineStr">
        <is>
          <t>风险资产≤70%</t>
        </is>
      </c>
      <c r="G8" s="2" t="inlineStr">
        <is>
          <t>—</t>
        </is>
      </c>
      <c r="H8" s="2" t="inlineStr">
        <is>
          <t>9/14</t>
        </is>
      </c>
      <c r="I8" s="2" t="inlineStr">
        <is>
          <t>—</t>
        </is>
      </c>
      <c r="J8" s="2" t="inlineStr">
        <is>
          <t>现金比例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3" customWidth="1" min="1" max="1"/>
    <col width="40.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情景/项目</t>
        </is>
      </c>
      <c r="B1" s="1" t="inlineStr">
        <is>
          <t>冲击路径</t>
        </is>
      </c>
      <c r="C1" s="1" t="inlineStr">
        <is>
          <t>损失额</t>
        </is>
      </c>
      <c r="D1" s="1" t="inlineStr">
        <is>
          <t>损失率</t>
        </is>
      </c>
      <c r="E1" s="1" t="inlineStr">
        <is>
          <t>与6%比较</t>
        </is>
      </c>
      <c r="F1" s="1" t="inlineStr">
        <is>
          <t>是否最不利</t>
        </is>
      </c>
    </row>
    <row r="2">
      <c r="A2" s="2" t="inlineStr">
        <is>
          <t>A铜</t>
        </is>
      </c>
      <c r="B2" s="2" t="inlineStr">
        <is>
          <t>-12%</t>
        </is>
      </c>
      <c r="C2" s="2" t="n">
        <v>47520</v>
      </c>
      <c r="D2" s="2" t="inlineStr">
        <is>
          <t>4.71%</t>
        </is>
      </c>
      <c r="E2" s="2" t="inlineStr"/>
      <c r="F2" s="2" t="inlineStr"/>
    </row>
    <row r="3">
      <c r="A3" s="2" t="inlineStr">
        <is>
          <t>B(停牌前价)</t>
        </is>
      </c>
      <c r="B3" s="2" t="inlineStr">
        <is>
          <t>-15%</t>
        </is>
      </c>
      <c r="C3" s="2" t="n">
        <v>32400</v>
      </c>
      <c r="D3" s="2" t="inlineStr">
        <is>
          <t>3.21%</t>
        </is>
      </c>
      <c r="E3" s="2" t="inlineStr">
        <is>
          <t>锁死不可减</t>
        </is>
      </c>
      <c r="F3" s="2" t="inlineStr"/>
    </row>
    <row r="4">
      <c r="A4" s="2" t="inlineStr">
        <is>
          <t>C新能源</t>
        </is>
      </c>
      <c r="B4" s="2" t="inlineStr">
        <is>
          <t>-10%</t>
        </is>
      </c>
      <c r="C4" s="2" t="n">
        <v>6000</v>
      </c>
      <c r="D4" s="2" t="inlineStr">
        <is>
          <t>0.59%</t>
        </is>
      </c>
      <c r="E4" s="2" t="inlineStr"/>
      <c r="F4" s="2" t="inlineStr"/>
    </row>
    <row r="5">
      <c r="A5" s="2" t="inlineStr">
        <is>
          <t>D</t>
        </is>
      </c>
      <c r="B5" s="2" t="inlineStr">
        <is>
          <t>价-8%×汇-2%</t>
        </is>
      </c>
      <c r="C5" s="2" t="n">
        <v>4526</v>
      </c>
      <c r="D5" s="2" t="inlineStr">
        <is>
          <t>0.45%</t>
        </is>
      </c>
      <c r="E5" s="2" t="inlineStr"/>
      <c r="F5" s="2" t="inlineStr"/>
    </row>
    <row r="6">
      <c r="A6" s="2" t="inlineStr">
        <is>
          <t>港币现金</t>
        </is>
      </c>
      <c r="B6" s="2" t="inlineStr">
        <is>
          <t>汇-2%</t>
        </is>
      </c>
      <c r="C6" s="2" t="n">
        <v>1104</v>
      </c>
      <c r="D6" s="2" t="inlineStr">
        <is>
          <t>0.11%</t>
        </is>
      </c>
      <c r="E6" s="2" t="inlineStr"/>
      <c r="F6" s="2" t="inlineStr"/>
    </row>
    <row r="7">
      <c r="A7" s="2" t="inlineStr">
        <is>
          <t>现状合计</t>
        </is>
      </c>
      <c r="B7" s="2" t="inlineStr"/>
      <c r="C7" s="2" t="n">
        <v>91550</v>
      </c>
      <c r="D7" s="2" t="inlineStr">
        <is>
          <t>9.07%</t>
        </is>
      </c>
      <c r="E7" s="2" t="inlineStr">
        <is>
          <t>超30998</t>
        </is>
      </c>
      <c r="F7" s="2" t="inlineStr">
        <is>
          <t>最不利(不调整)</t>
        </is>
      </c>
    </row>
    <row r="8">
      <c r="A8" s="2" t="inlineStr">
        <is>
          <t>主路径后(A余3300,D=0,C=1000)</t>
        </is>
      </c>
      <c r="B8" s="2" t="inlineStr">
        <is>
          <t>复算</t>
        </is>
      </c>
      <c r="C8" s="2" t="n">
        <v>60294</v>
      </c>
      <c r="D8" s="2" t="inlineStr">
        <is>
          <t>5.98%</t>
        </is>
      </c>
      <c r="E8" s="2" t="inlineStr">
        <is>
          <t>达标</t>
        </is>
      </c>
      <c r="F8" s="2" t="inlineStr">
        <is>
          <t>PASS</t>
        </is>
      </c>
    </row>
    <row r="9">
      <c r="A9" s="2" t="inlineStr">
        <is>
          <t>偏好路径后(A余4300,C=0,D=0)</t>
        </is>
      </c>
      <c r="B9" s="2" t="inlineStr">
        <is>
          <t>复算</t>
        </is>
      </c>
      <c r="C9" s="2" t="n">
        <v>59966</v>
      </c>
      <c r="D9" s="2" t="inlineStr">
        <is>
          <t>5.94%</t>
        </is>
      </c>
      <c r="E9" s="2" t="inlineStr">
        <is>
          <t>达标</t>
        </is>
      </c>
      <c r="F9" s="2" t="inlineStr">
        <is>
          <t>PASS</t>
        </is>
      </c>
    </row>
    <row r="10">
      <c r="A10" s="2" t="inlineStr">
        <is>
          <t>说明</t>
        </is>
      </c>
      <c r="B10" s="2" t="inlineStr">
        <is>
          <t>B停牌固定贡献32400(3.21%)为最大不可减项；现金与冻结款面值不变</t>
        </is>
      </c>
      <c r="C10" s="2" t="inlineStr"/>
      <c r="D10" s="2" t="inlineStr"/>
      <c r="E10" s="2" t="inlineStr"/>
      <c r="F1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.1" customWidth="1" min="1" max="1"/>
    <col width="12" customWidth="1" min="2" max="2"/>
    <col width="18.7" customWidth="1" min="3" max="3"/>
    <col width="13.2" customWidth="1" min="4" max="4"/>
    <col width="12.1" customWidth="1" min="5" max="5"/>
  </cols>
  <sheetData>
    <row r="1">
      <c r="A1" s="1" t="inlineStr">
        <is>
          <t>条目</t>
        </is>
      </c>
      <c r="B1" s="1" t="inlineStr">
        <is>
          <t>类型</t>
        </is>
      </c>
      <c r="C1" s="1" t="inlineStr">
        <is>
          <t>来源/依据</t>
        </is>
      </c>
      <c r="D1" s="1" t="inlineStr">
        <is>
          <t>影响</t>
        </is>
      </c>
      <c r="E1" s="1" t="inlineStr">
        <is>
          <t>补齐后重算</t>
        </is>
      </c>
    </row>
    <row r="2">
      <c r="A2" s="2" t="inlineStr">
        <is>
          <t>勾稽残差0</t>
        </is>
      </c>
      <c r="B2" s="2" t="inlineStr">
        <is>
          <t>已确认事实</t>
        </is>
      </c>
      <c r="C2" s="2" t="inlineStr">
        <is>
          <t>分项加总=1009200</t>
        </is>
      </c>
      <c r="D2" s="2" t="inlineStr">
        <is>
          <t>口径一致</t>
        </is>
      </c>
      <c r="E2" s="2" t="inlineStr">
        <is>
          <t>—</t>
        </is>
      </c>
    </row>
    <row r="3">
      <c r="A3" s="2" t="inlineStr">
        <is>
          <t>A成本48.05</t>
        </is>
      </c>
      <c r="B3" s="2" t="inlineStr">
        <is>
          <t>已确认事实</t>
        </is>
      </c>
      <c r="C3" s="2" t="inlineStr">
        <is>
          <t>L01/L02/L03</t>
        </is>
      </c>
      <c r="D3" s="2" t="inlineStr">
        <is>
          <t>盈亏/减仓成本</t>
        </is>
      </c>
      <c r="E3" s="2" t="inlineStr">
        <is>
          <t>—</t>
        </is>
      </c>
    </row>
    <row r="4">
      <c r="A4" s="2" t="inlineStr">
        <is>
          <t>B成本100.20</t>
        </is>
      </c>
      <c r="B4" s="2" t="inlineStr">
        <is>
          <t>已确认事实</t>
        </is>
      </c>
      <c r="C4" s="2" t="inlineStr">
        <is>
          <t>L04+CA01</t>
        </is>
      </c>
      <c r="D4" s="2" t="inlineStr">
        <is>
          <t>B盈亏</t>
        </is>
      </c>
      <c r="E4" s="2" t="inlineStr">
        <is>
          <t>—</t>
        </is>
      </c>
    </row>
    <row r="5">
      <c r="A5" s="2" t="inlineStr">
        <is>
          <t>B价120为9/9收盘</t>
        </is>
      </c>
      <c r="B5" s="2" t="inlineStr">
        <is>
          <t>已确认事实</t>
        </is>
      </c>
      <c r="C5" s="2" t="inlineStr">
        <is>
          <t>H02/S02</t>
        </is>
      </c>
      <c r="D5" s="2" t="inlineStr">
        <is>
          <t>B市值仅记账</t>
        </is>
      </c>
      <c r="E5" s="2" t="inlineStr">
        <is>
          <t>复牌后重算</t>
        </is>
      </c>
    </row>
    <row r="6">
      <c r="A6" s="2" t="inlineStr">
        <is>
          <t>C今日或难成交</t>
        </is>
      </c>
      <c r="B6" s="2" t="inlineStr">
        <is>
          <t>合理推断</t>
        </is>
      </c>
      <c r="C6" s="2" t="inlineStr">
        <is>
          <t>H03/T03买一无挂单</t>
        </is>
      </c>
      <c r="D6" s="2" t="inlineStr">
        <is>
          <t>走主路径或偏好路径</t>
        </is>
      </c>
      <c r="E6" s="2" t="inlineStr">
        <is>
          <t>次日盘口重算</t>
        </is>
      </c>
    </row>
    <row r="7">
      <c r="A7" s="2" t="inlineStr">
        <is>
          <t>费率0.10%</t>
        </is>
      </c>
      <c r="B7" s="2" t="inlineStr">
        <is>
          <t>合理推断</t>
        </is>
      </c>
      <c r="C7" s="2" t="inlineStr">
        <is>
          <t>L02/L03/L06/L07一致</t>
        </is>
      </c>
      <c r="D7" s="2" t="inlineStr">
        <is>
          <t>费用(影响&lt;0.03%)</t>
        </is>
      </c>
      <c r="E7" s="2" t="inlineStr">
        <is>
          <t>印花税/滑点给到后重算</t>
        </is>
      </c>
    </row>
    <row r="8">
      <c r="A8" s="2" t="inlineStr">
        <is>
          <t>未给印花税/滑点</t>
        </is>
      </c>
      <c r="B8" s="2" t="inlineStr">
        <is>
          <t>仍缺证据</t>
        </is>
      </c>
      <c r="C8" s="2" t="inlineStr">
        <is>
          <t>D03</t>
        </is>
      </c>
      <c r="D8" s="2" t="inlineStr">
        <is>
          <t>费用略低估</t>
        </is>
      </c>
      <c r="E8" s="2" t="inlineStr">
        <is>
          <t>净回笼微调，整手不变</t>
        </is>
      </c>
    </row>
    <row r="9">
      <c r="A9" s="2" t="inlineStr">
        <is>
          <t>B复牌方案/价未知</t>
        </is>
      </c>
      <c r="B9" s="2" t="inlineStr">
        <is>
          <t>仍缺证据</t>
        </is>
      </c>
      <c r="C9" s="2" t="inlineStr">
        <is>
          <t>S02/D03</t>
        </is>
      </c>
      <c r="D9" s="2" t="inlineStr">
        <is>
          <t>R5数量无法预设</t>
        </is>
      </c>
      <c r="E9" s="2" t="inlineStr">
        <is>
          <t>复牌公告后重算</t>
        </is>
      </c>
    </row>
    <row r="10">
      <c r="A10" s="2" t="inlineStr">
        <is>
          <t>技术指标未收盘/停牌前</t>
        </is>
      </c>
      <c r="B10" s="2" t="inlineStr">
        <is>
          <t>仍缺证据</t>
        </is>
      </c>
      <c r="C10" s="2" t="inlineStr">
        <is>
          <t>M01-M04</t>
        </is>
      </c>
      <c r="D10" s="2" t="inlineStr">
        <is>
          <t>触发价参考</t>
        </is>
      </c>
      <c r="E10" s="2" t="inlineStr">
        <is>
          <t>收盘/复牌后更新</t>
        </is>
      </c>
    </row>
    <row r="11">
      <c r="A11" s="2" t="inlineStr">
        <is>
          <t>港币换汇时效未给</t>
        </is>
      </c>
      <c r="B11" s="2" t="inlineStr">
        <is>
          <t>仍缺证据</t>
        </is>
      </c>
      <c r="C11" s="2" t="inlineStr">
        <is>
          <t>K02/T04</t>
        </is>
      </c>
      <c r="D11" s="2" t="inlineStr">
        <is>
          <t>D卖款何时可买A股</t>
        </is>
      </c>
      <c r="E11" s="2" t="inlineStr">
        <is>
          <t>到账后排资金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自检项</t>
        </is>
      </c>
      <c r="B1" s="1" t="inlineStr">
        <is>
          <t>填写值</t>
        </is>
      </c>
    </row>
    <row r="2">
      <c r="A2" s="2" t="inlineStr">
        <is>
          <t>交付清单</t>
        </is>
      </c>
      <c r="B2" s="2" t="inlineStr">
        <is>
          <t>正文+本工作簿1个，含10张表</t>
        </is>
      </c>
    </row>
    <row r="3">
      <c r="A3" s="2" t="inlineStr">
        <is>
          <t>最紧约束</t>
        </is>
      </c>
      <c r="B3" s="2" t="inlineStr">
        <is>
          <t>一周压力损失；现9.07%(91550)；阈6%(60552)；主路径卖A4700+D5000→5.98%；R1/R3</t>
        </is>
      </c>
    </row>
    <row r="4">
      <c r="A4" s="2" t="inlineStr">
        <is>
          <t>分解型占比</t>
        </is>
      </c>
      <c r="B4" s="2" t="inlineStr">
        <is>
          <t>风险贡献 A53.53+B33.81+C8.20+D4.46=100.00%；权重合计100%</t>
        </is>
      </c>
    </row>
    <row r="5">
      <c r="A5" s="2" t="inlineStr">
        <is>
          <t>最不利情景</t>
        </is>
      </c>
      <c r="B5" s="2" t="inlineStr">
        <is>
          <t>S01统一冲击9.07%；题未给多日路径，按给定一次性冲击，取最不利</t>
        </is>
      </c>
    </row>
    <row r="6">
      <c r="A6" s="2" t="inlineStr">
        <is>
          <t>日期来源</t>
        </is>
      </c>
      <c r="B6" s="2" t="inlineStr">
        <is>
          <t>动作日9/10四、9/11五、9/14一取自日历；9/12-13周末不执行</t>
        </is>
      </c>
    </row>
    <row r="7">
      <c r="A7" s="2" t="inlineStr">
        <is>
          <t>数量口径</t>
        </is>
      </c>
      <c r="B7" s="2" t="inlineStr">
        <is>
          <t>R1追加4700(基准8000)；R1b追加1000(累计4700)；R3追加5000(基准5000)</t>
        </is>
      </c>
    </row>
    <row r="8">
      <c r="A8" s="2" t="inlineStr">
        <is>
          <t>费用口径</t>
        </is>
      </c>
      <c r="B8" s="2" t="inlineStr">
        <is>
          <t>隐含费率=费用/成交额=0.10%，与L02/L03/L06/L07一致</t>
        </is>
      </c>
    </row>
    <row r="9">
      <c r="A9" s="2" t="inlineStr">
        <is>
          <t>跨文件一致</t>
        </is>
      </c>
      <c r="B9" s="2" t="inlineStr">
        <is>
          <t>A权重16.2%/压力5.98% 正文与表4/5/8一致</t>
        </is>
      </c>
    </row>
    <row r="10">
      <c r="A10" s="2" t="inlineStr">
        <is>
          <t>非执行声明</t>
        </is>
      </c>
      <c r="B10" s="2" t="inlineStr">
        <is>
          <t>仅条件化建议，不代下单，不保证成交、收益或止损有效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2026-09-18T12:51:18Z</dcterms:created>
  <dcterms:modified xmlns:dcterms="http://purl.org/dc/terms/" xmlns:xsi="http://www.w3.org/2001/XMLSchema-instance" xsi:type="dcterms:W3CDTF">2026-09-18T12:51:18Z</dcterms:modified>
</cp:coreProperties>
</file>