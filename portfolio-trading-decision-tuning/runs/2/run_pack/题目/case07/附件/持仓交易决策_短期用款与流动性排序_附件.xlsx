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xuan/Documents/Codex/2026-09-05/skill-skill-skill-prompt-prompt-skill/outputs/持仓交易决策_短期用款与流动性排序/"/>
    </mc:Choice>
  </mc:AlternateContent>
  <xr:revisionPtr revIDLastSave="0" documentId="13_ncr:1_{A9C1DC07-6BB6-5B4B-99CE-445DF73ECD42}" xr6:coauthVersionLast="47" xr6:coauthVersionMax="47" xr10:uidLastSave="{00000000-0000-0000-0000-000000000000}"/>
  <bookViews>
    <workbookView xWindow="80" yWindow="580" windowWidth="25440" windowHeight="14500" xr2:uid="{00000000-000D-0000-FFFF-FFFF00000000}"/>
  </bookViews>
  <sheets>
    <sheet name="任务说明" sheetId="1" r:id="rId1"/>
    <sheet name="账户与资金" sheetId="2" r:id="rId2"/>
    <sheet name="官方持仓" sheetId="3" r:id="rId3"/>
    <sheet name="OCR核验" sheetId="4" r:id="rId4"/>
    <sheet name="交易批次" sheetId="5" r:id="rId5"/>
    <sheet name="行情交易状态" sheetId="6" r:id="rId6"/>
    <sheet name="公司行动" sheetId="7" r:id="rId7"/>
    <sheet name="风险参数" sheetId="8" r:id="rId8"/>
    <sheet name="相关性矩阵" sheetId="9" r:id="rId9"/>
    <sheet name="压力情景" sheetId="10" r:id="rId10"/>
    <sheet name="约束与偏好" sheetId="11" r:id="rId11"/>
    <sheet name="费用与规则" sheetId="12" r:id="rId12"/>
    <sheet name="资金日历" sheetId="13" r:id="rId13"/>
  </sheets>
  <calcPr calcId="0"/>
</workbook>
</file>

<file path=xl/sharedStrings.xml><?xml version="1.0" encoding="utf-8"?>
<sst xmlns="http://schemas.openxmlformats.org/spreadsheetml/2006/main" count="773" uniqueCount="505">
  <si>
    <t>任务说明</t>
  </si>
  <si>
    <t>短期刚性用款下的持仓勾稽、现金可达性、风险体检和条件式交易计划输入。</t>
  </si>
  <si>
    <t>项目</t>
  </si>
  <si>
    <t>内容</t>
  </si>
  <si>
    <t>source_id</t>
  </si>
  <si>
    <t>业务场景</t>
  </si>
  <si>
    <t>家庭购房款短期筹措与组合风险整改</t>
  </si>
  <si>
    <t>TASK-001</t>
  </si>
  <si>
    <t>决策时点</t>
  </si>
  <si>
    <t>TASK-002</t>
  </si>
  <si>
    <t>时区</t>
  </si>
  <si>
    <t>Asia/Shanghai</t>
  </si>
  <si>
    <t>TASK-003</t>
  </si>
  <si>
    <t>现金截止</t>
  </si>
  <si>
    <t>TASK-004</t>
  </si>
  <si>
    <t>现金目标</t>
  </si>
  <si>
    <t>TASK-005</t>
  </si>
  <si>
    <t>组合币种</t>
  </si>
  <si>
    <t>CNY</t>
  </si>
  <si>
    <t>TASK-006</t>
  </si>
  <si>
    <t>行情口径</t>
  </si>
  <si>
    <t>不复权交易价格；除息比较使用公司行动表给出的调整参考</t>
  </si>
  <si>
    <t>TASK-007</t>
  </si>
  <si>
    <t>数据性质</t>
  </si>
  <si>
    <t>全部证券、账户、行情和规则为合成、已脱敏材料</t>
  </si>
  <si>
    <t>TASK-008</t>
  </si>
  <si>
    <t>外部数据</t>
  </si>
  <si>
    <t>禁止联网补充或替换附件数据</t>
  </si>
  <si>
    <t>TASK-009</t>
  </si>
  <si>
    <t>授权范围</t>
  </si>
  <si>
    <t>仅形成研究分析和客户沟通草案</t>
  </si>
  <si>
    <t>TASK-010</t>
  </si>
  <si>
    <t>禁止事项</t>
  </si>
  <si>
    <t>不连接券商，不代下单，不撤单，不划款，不融资，不索取账户凭证，不声称已成交</t>
  </si>
  <si>
    <t>TASK-011</t>
  </si>
  <si>
    <t>结果边界</t>
  </si>
  <si>
    <t>不承诺成交、回本、目标价或未来收益；不确定信息必须使用多情景</t>
  </si>
  <si>
    <t>TASK-012</t>
  </si>
  <si>
    <t>账户与资金</t>
  </si>
  <si>
    <t>金额单位：人民币元。汇总值与明细项目须分开使用，避免重复计算。</t>
  </si>
  <si>
    <t>record_id</t>
  </si>
  <si>
    <t>金额_CNY</t>
  </si>
  <si>
    <t>状态</t>
  </si>
  <si>
    <t>available_ts</t>
  </si>
  <si>
    <t>transferable_ts</t>
  </si>
  <si>
    <t>计入口径</t>
  </si>
  <si>
    <t>备注</t>
  </si>
  <si>
    <t>ACC-001</t>
  </si>
  <si>
    <t>statement_total_assets</t>
  </si>
  <si>
    <t>券商账单汇总值</t>
  </si>
  <si>
    <t>汇总值，不与其他行相加</t>
  </si>
  <si>
    <t>与明细重算值存在差异</t>
  </si>
  <si>
    <t>BRK-ACC-01</t>
  </si>
  <si>
    <t>ACC-002</t>
  </si>
  <si>
    <t>withdrawable_cash</t>
  </si>
  <si>
    <t>已结算且可划转</t>
  </si>
  <si>
    <t>明细项目</t>
  </si>
  <si>
    <t>可计入截止日现金</t>
  </si>
  <si>
    <t>BRK-ACC-02</t>
  </si>
  <si>
    <t>ACC-003</t>
  </si>
  <si>
    <t>available_funds_total</t>
  </si>
  <si>
    <t>可用于交易但并非全部可划转</t>
  </si>
  <si>
    <t>汇总值，不与ACC-002和ACC-004重复相加</t>
  </si>
  <si>
    <t>包含未结算卖出款</t>
  </si>
  <si>
    <t>BRK-ACC-03</t>
  </si>
  <si>
    <t>ACC-004</t>
  </si>
  <si>
    <t>unsettled_sale_gross</t>
  </si>
  <si>
    <t>卖出款毛额待结算</t>
  </si>
  <si>
    <t>费用税费见交易批次；到账净额需复算</t>
  </si>
  <si>
    <t>BRK-ACC-04</t>
  </si>
  <si>
    <t>ACC-005</t>
  </si>
  <si>
    <t>confirmed_dividend_receivable_B</t>
  </si>
  <si>
    <t>已过登记日，尚未支付</t>
  </si>
  <si>
    <t>券商未明确是否计入总资产</t>
  </si>
  <si>
    <t>晚于现金截止日，不得计入按时可划转现金</t>
  </si>
  <si>
    <t>CA-B-01</t>
  </si>
  <si>
    <t>ACC-006</t>
  </si>
  <si>
    <t>required_withdrawable_cash</t>
  </si>
  <si>
    <t>客户刚性目标</t>
  </si>
  <si>
    <t>目标值</t>
  </si>
  <si>
    <t>截止2026-09-02 10:00</t>
  </si>
  <si>
    <t>CLIENT-01</t>
  </si>
  <si>
    <t>ACC-007</t>
  </si>
  <si>
    <t>confirmed_future_deposit</t>
  </si>
  <si>
    <t>无已确认未来入金</t>
  </si>
  <si>
    <t>假设限制</t>
  </si>
  <si>
    <t>不得假设客户另行入金</t>
  </si>
  <si>
    <t>CLIENT-02</t>
  </si>
  <si>
    <t>官方持仓</t>
  </si>
  <si>
    <t>券商正式持仓快照。可卖数量不等于在停牌、跌停或无买盘状态下的可执行数量。</t>
  </si>
  <si>
    <t>security_id</t>
  </si>
  <si>
    <t>脱敏名称</t>
  </si>
  <si>
    <t>资产类型</t>
  </si>
  <si>
    <t>市场</t>
  </si>
  <si>
    <t>行业</t>
  </si>
  <si>
    <t>总数量</t>
  </si>
  <si>
    <t>券商可卖数量</t>
  </si>
  <si>
    <t>冻结数量</t>
  </si>
  <si>
    <t>券商展示均价</t>
  </si>
  <si>
    <t>账面价格</t>
  </si>
  <si>
    <t>券商市值</t>
  </si>
  <si>
    <t>价格时点</t>
  </si>
  <si>
    <t>SYN201.SH</t>
  </si>
  <si>
    <t>证券A</t>
  </si>
  <si>
    <t>A股普通股</t>
  </si>
  <si>
    <t>上交所</t>
  </si>
  <si>
    <t>电子</t>
  </si>
  <si>
    <t>BRK-POS-01</t>
  </si>
  <si>
    <t>SYN202.SZ</t>
  </si>
  <si>
    <t>证券B</t>
  </si>
  <si>
    <t>深交所</t>
  </si>
  <si>
    <t>银行</t>
  </si>
  <si>
    <t>BRK-POS-02</t>
  </si>
  <si>
    <t>SYN203.SH</t>
  </si>
  <si>
    <t>证券C</t>
  </si>
  <si>
    <t>医药</t>
  </si>
  <si>
    <t>BRK-POS-03</t>
  </si>
  <si>
    <t>SYN204.SZ</t>
  </si>
  <si>
    <t>证券D</t>
  </si>
  <si>
    <t>BRK-POS-04</t>
  </si>
  <si>
    <t>SYNETF.SH</t>
  </si>
  <si>
    <t>宽基ETF</t>
  </si>
  <si>
    <t>股票ETF</t>
  </si>
  <si>
    <t>宽基</t>
  </si>
  <si>
    <t>BRK-POS-05</t>
  </si>
  <si>
    <t>OCR核验</t>
  </si>
  <si>
    <t>截图识别仅用于交叉核验。置信度低于0.80的字段不得驱动交易数量。</t>
  </si>
  <si>
    <t>字段</t>
  </si>
  <si>
    <t>OCR值</t>
  </si>
  <si>
    <t>置信度</t>
  </si>
  <si>
    <t>识别问题</t>
  </si>
  <si>
    <t>使用规则</t>
  </si>
  <si>
    <t>OCR-001</t>
  </si>
  <si>
    <t>total_qty</t>
  </si>
  <si>
    <t>13,000?</t>
  </si>
  <si>
    <t>字符重叠，末两位不清晰</t>
  </si>
  <si>
    <t>仅列异常，不得覆盖官方持仓</t>
  </si>
  <si>
    <t>IMG-01</t>
  </si>
  <si>
    <t>OCR-002</t>
  </si>
  <si>
    <t>sellable_qty</t>
  </si>
  <si>
    <t>14,000</t>
  </si>
  <si>
    <t>与OCR总数量形成逻辑冲突</t>
  </si>
  <si>
    <t>使用官方持仓和交易批次复核</t>
  </si>
  <si>
    <t>OCR-003</t>
  </si>
  <si>
    <t>12,500</t>
  </si>
  <si>
    <t>清晰</t>
  </si>
  <si>
    <t>可用于交叉核验</t>
  </si>
  <si>
    <t>OCR-004</t>
  </si>
  <si>
    <t>8,000</t>
  </si>
  <si>
    <t>可用于交叉核验，但不能证明可成交</t>
  </si>
  <si>
    <t>OCR-005</t>
  </si>
  <si>
    <t>security_name</t>
  </si>
  <si>
    <t>证劵D?</t>
  </si>
  <si>
    <t>名称识别错误</t>
  </si>
  <si>
    <t>以security_id匹配，不以名称覆盖</t>
  </si>
  <si>
    <t>IMG-02</t>
  </si>
  <si>
    <t>OCR-006</t>
  </si>
  <si>
    <t>10,000</t>
  </si>
  <si>
    <t>OCR-007</t>
  </si>
  <si>
    <t>50,000</t>
  </si>
  <si>
    <t>交易批次</t>
  </si>
  <si>
    <t>成交金额、费用与结算均为合成数据。买入成本应纳入已发生买入费用。</t>
  </si>
  <si>
    <t>trade_id</t>
  </si>
  <si>
    <t>成交时间</t>
  </si>
  <si>
    <t>方向</t>
  </si>
  <si>
    <t>数量</t>
  </si>
  <si>
    <t>成交价</t>
  </si>
  <si>
    <t>成交金额</t>
  </si>
  <si>
    <t>佣金</t>
  </si>
  <si>
    <t>过户费</t>
  </si>
  <si>
    <t>印花税</t>
  </si>
  <si>
    <t>结算日</t>
  </si>
  <si>
    <t>可卖日</t>
  </si>
  <si>
    <t>TRD-A-01</t>
  </si>
  <si>
    <t>买入</t>
  </si>
  <si>
    <t>历史批次</t>
  </si>
  <si>
    <t>BRK-TRD-01</t>
  </si>
  <si>
    <t>TRD-A-02</t>
  </si>
  <si>
    <t>BRK-TRD-02</t>
  </si>
  <si>
    <t>TRD-A-03</t>
  </si>
  <si>
    <t>决策当日买入，8月28日不可卖</t>
  </si>
  <si>
    <t>BRK-TRD-03</t>
  </si>
  <si>
    <t>TRD-B-01</t>
  </si>
  <si>
    <t>BRK-TRD-04</t>
  </si>
  <si>
    <t>TRD-C-01</t>
  </si>
  <si>
    <t>BRK-TRD-05</t>
  </si>
  <si>
    <t>TRD-D-01</t>
  </si>
  <si>
    <t>BRK-TRD-06</t>
  </si>
  <si>
    <t>TRD-E-01</t>
  </si>
  <si>
    <t>BRK-TRD-07</t>
  </si>
  <si>
    <t>TRD-X-01</t>
  </si>
  <si>
    <t>CLOSED-X.SH</t>
  </si>
  <si>
    <t>卖出</t>
  </si>
  <si>
    <t>已清仓旧证券；账户表列示毛额，净额需扣费用税费</t>
  </si>
  <si>
    <t>BRK-TRD-08</t>
  </si>
  <si>
    <t>行情交易状态</t>
  </si>
  <si>
    <t>必须按available_ts截断。未来测试记录用于检验前视控制，不得进入当前结论。</t>
  </si>
  <si>
    <t>记录类型</t>
  </si>
  <si>
    <t>价格</t>
  </si>
  <si>
    <t>price_ts</t>
  </si>
  <si>
    <t>前收盘</t>
  </si>
  <si>
    <t>调整后前收盘</t>
  </si>
  <si>
    <t>交易状态</t>
  </si>
  <si>
    <t>跌停价</t>
  </si>
  <si>
    <t>涨停价</t>
  </si>
  <si>
    <t>最佳买价</t>
  </si>
  <si>
    <t>最佳买量</t>
  </si>
  <si>
    <t>20日ADV_股</t>
  </si>
  <si>
    <t>价差_bps</t>
  </si>
  <si>
    <t>技术或口径备注</t>
  </si>
  <si>
    <t>MKT-A-01</t>
  </si>
  <si>
    <t>正式收盘</t>
  </si>
  <si>
    <t>正常交易</t>
  </si>
  <si>
    <t>日线站上20日均线，内部技术摘要偏强；仅作辅助</t>
  </si>
  <si>
    <t>MKT-SRC-01</t>
  </si>
  <si>
    <t>MKT-A-FUT</t>
  </si>
  <si>
    <t>未来测试记录</t>
  </si>
  <si>
    <t>晚于决策时点，当前分析必须排除</t>
  </si>
  <si>
    <t>MKT-SRC-FUT</t>
  </si>
  <si>
    <t>MKT-B-01</t>
  </si>
  <si>
    <t>除息日正常交易</t>
  </si>
  <si>
    <t>当日账面价格下降与0.30元现金股息有关</t>
  </si>
  <si>
    <t>MKT-SRC-02</t>
  </si>
  <si>
    <t>MKT-C-01</t>
  </si>
  <si>
    <t>停牌前收盘</t>
  </si>
  <si>
    <t>自8月25日起停牌</t>
  </si>
  <si>
    <t>价格陈旧，不代表当前可成交价值</t>
  </si>
  <si>
    <t>MKT-SRC-03</t>
  </si>
  <si>
    <t>MKT-D-01</t>
  </si>
  <si>
    <t>跌停且买盘为零</t>
  </si>
  <si>
    <t>风险高但决策时点无法成交</t>
  </si>
  <si>
    <t>MKT-SRC-04</t>
  </si>
  <si>
    <t>MKT-E-01</t>
  </si>
  <si>
    <t>流动性较好，但不属于高波动电子行业暴露</t>
  </si>
  <si>
    <t>MKT-SRC-05</t>
  </si>
  <si>
    <t>公司行动</t>
  </si>
  <si>
    <t>用于校正除息价格口径和识别不可交易时段。</t>
  </si>
  <si>
    <t>event_id</t>
  </si>
  <si>
    <t>事件</t>
  </si>
  <si>
    <t>公告可知时间</t>
  </si>
  <si>
    <t>登记日</t>
  </si>
  <si>
    <t>除息或生效日</t>
  </si>
  <si>
    <t>支付日</t>
  </si>
  <si>
    <t>每股金额</t>
  </si>
  <si>
    <t>当前状态</t>
  </si>
  <si>
    <t>现金分红</t>
  </si>
  <si>
    <t>已持有并跨过登记日，股息权利已确认</t>
  </si>
  <si>
    <t>除息前后价格比较应减去0.30元机械影响；现金晚于用款截止</t>
  </si>
  <si>
    <t>ISSUER-CA-01</t>
  </si>
  <si>
    <t>CA-C-01</t>
  </si>
  <si>
    <t>停牌</t>
  </si>
  <si>
    <t>停牌中，复牌日未知</t>
  </si>
  <si>
    <t>停牌前收盘价只可用于账面估值，不可视为成交价</t>
  </si>
  <si>
    <t>EXCH-CA-02</t>
  </si>
  <si>
    <t>风险参数</t>
  </si>
  <si>
    <t>60个交易日估算，年化口径。停牌标的的历史参数不得消除其复牌跳空风险。</t>
  </si>
  <si>
    <t>年化波动率</t>
  </si>
  <si>
    <t>beta</t>
  </si>
  <si>
    <t>高波动标签</t>
  </si>
  <si>
    <t>流动性等级</t>
  </si>
  <si>
    <t>风险备注</t>
  </si>
  <si>
    <t>是</t>
  </si>
  <si>
    <t>A</t>
  </si>
  <si>
    <t>技术摘要偏强，但高波动且与证券D、ETF相关性较高</t>
  </si>
  <si>
    <t>RISK-01</t>
  </si>
  <si>
    <t>否</t>
  </si>
  <si>
    <t>波动较低；除息口径需单独处理</t>
  </si>
  <si>
    <t>RISK-02</t>
  </si>
  <si>
    <t>D</t>
  </si>
  <si>
    <t>停牌导致历史波动率可能低估复牌跳空风险</t>
  </si>
  <si>
    <t>RISK-03</t>
  </si>
  <si>
    <t>跌停无买盘，账面可卖不等于可执行</t>
  </si>
  <si>
    <t>RISK-04</t>
  </si>
  <si>
    <t>流动性较好，可快速筹现但不能单独修复电子行业集中</t>
  </si>
  <si>
    <t>RISK-05</t>
  </si>
  <si>
    <t>相关性矩阵</t>
  </si>
  <si>
    <t>60日收益率相关性。使用前检查维度、对称性、对角线和取值范围。</t>
  </si>
  <si>
    <t>CORR-01</t>
  </si>
  <si>
    <t>CORR-02</t>
  </si>
  <si>
    <t>CORR-03</t>
  </si>
  <si>
    <t>CORR-04</t>
  </si>
  <si>
    <t>CORR-05</t>
  </si>
  <si>
    <t>压力情景</t>
  </si>
  <si>
    <t>收益冲击为研究假设，不是价格预测。压力损失需按持仓市值逐项计算。</t>
  </si>
  <si>
    <t>scenario_id</t>
  </si>
  <si>
    <t>情景名称</t>
  </si>
  <si>
    <t>价格冲击</t>
  </si>
  <si>
    <t>成交假设</t>
  </si>
  <si>
    <t>情景说明</t>
  </si>
  <si>
    <t>STRESS-01</t>
  </si>
  <si>
    <t>成长与电子风险重估</t>
  </si>
  <si>
    <t>正常条件下可交易</t>
  </si>
  <si>
    <t>高波动成长与电子资产同步下跌</t>
  </si>
  <si>
    <t>SCEN-01-201</t>
  </si>
  <si>
    <t>SCEN-01-202</t>
  </si>
  <si>
    <t>STRESS-02中假设复牌首日无法按理论价成交；其他情景仍需先确认复牌</t>
  </si>
  <si>
    <t>SCEN-01-203</t>
  </si>
  <si>
    <t>下行情景可能继续无买盘，不得假设立即成交</t>
  </si>
  <si>
    <t>SCEN-01-204</t>
  </si>
  <si>
    <t>SCEN-01-ETF</t>
  </si>
  <si>
    <t>STRESS-02</t>
  </si>
  <si>
    <t>流动性与复牌跳空</t>
  </si>
  <si>
    <t>停牌复牌和无买盘标的承受更大冲击</t>
  </si>
  <si>
    <t>SCEN-02-201</t>
  </si>
  <si>
    <t>SCEN-02-202</t>
  </si>
  <si>
    <t>SCEN-02-203</t>
  </si>
  <si>
    <t>SCEN-02-204</t>
  </si>
  <si>
    <t>SCEN-02-ETF</t>
  </si>
  <si>
    <t>STRESS-03</t>
  </si>
  <si>
    <t>风险偏好修复</t>
  </si>
  <si>
    <t>仅作上行情景，不代表预测</t>
  </si>
  <si>
    <t>SCEN-03-201</t>
  </si>
  <si>
    <t>SCEN-03-202</t>
  </si>
  <si>
    <t>SCEN-03-203</t>
  </si>
  <si>
    <t>SCEN-03-204</t>
  </si>
  <si>
    <t>SCEN-03-ETF</t>
  </si>
  <si>
    <t>约束与偏好</t>
  </si>
  <si>
    <t>hard约束优先于soft偏好。发生冲突时必须展示差异和不可行性。</t>
  </si>
  <si>
    <t>constraint_id</t>
  </si>
  <si>
    <t>级别</t>
  </si>
  <si>
    <t>指标</t>
  </si>
  <si>
    <t>关系</t>
  </si>
  <si>
    <t>阈值</t>
  </si>
  <si>
    <t>单位或分母</t>
  </si>
  <si>
    <t>解释</t>
  </si>
  <si>
    <t>CON-01</t>
  </si>
  <si>
    <t>hard</t>
  </si>
  <si>
    <t>2026-09-02 10:00前可划转现金</t>
  </si>
  <si>
    <t>&gt;=</t>
  </si>
  <si>
    <t>不得计入未成交委托、未结算卖出款或9月3日股息</t>
  </si>
  <si>
    <t>CON-02</t>
  </si>
  <si>
    <t>股票及股票ETF仓位</t>
  </si>
  <si>
    <t>&lt;=</t>
  </si>
  <si>
    <t>NAV</t>
  </si>
  <si>
    <t>现金目标完成后的交易后组合</t>
  </si>
  <si>
    <t>POLICY-01</t>
  </si>
  <si>
    <t>CON-03</t>
  </si>
  <si>
    <t>任一单只证券权重</t>
  </si>
  <si>
    <t>两种NAV口径均需检查</t>
  </si>
  <si>
    <t>POLICY-02</t>
  </si>
  <si>
    <t>CON-04</t>
  </si>
  <si>
    <t>高波动标签证券合计权重</t>
  </si>
  <si>
    <t>证券A与证券D合计</t>
  </si>
  <si>
    <t>POLICY-03</t>
  </si>
  <si>
    <t>CON-05</t>
  </si>
  <si>
    <t>电子行业合计权重</t>
  </si>
  <si>
    <t>POLICY-04</t>
  </si>
  <si>
    <t>CON-06</t>
  </si>
  <si>
    <t>最不利压力情景损失</t>
  </si>
  <si>
    <t>取附件下行情景中的最大损失</t>
  </si>
  <si>
    <t>POLICY-05</t>
  </si>
  <si>
    <t>CON-07</t>
  </si>
  <si>
    <t>任一证券风险贡献占比</t>
  </si>
  <si>
    <t>组合方差</t>
  </si>
  <si>
    <t>仅在相关性矩阵检查通过后计算</t>
  </si>
  <si>
    <t>POLICY-06</t>
  </si>
  <si>
    <t>CON-08</t>
  </si>
  <si>
    <t>单日计划成交量占20日ADV</t>
  </si>
  <si>
    <t>ADV</t>
  </si>
  <si>
    <t>停牌或零买盘时可执行量仍为0</t>
  </si>
  <si>
    <t>POLICY-07</t>
  </si>
  <si>
    <t>CON-09</t>
  </si>
  <si>
    <t>任一时点已结算可划转现金</t>
  </si>
  <si>
    <t>不得因做T或其他计划突破</t>
  </si>
  <si>
    <t>POLICY-08</t>
  </si>
  <si>
    <t>CON-10</t>
  </si>
  <si>
    <t>A股当日买入股份当日卖出</t>
  </si>
  <si>
    <t>等于</t>
  </si>
  <si>
    <t>股</t>
  </si>
  <si>
    <t>执行T+1规则</t>
  </si>
  <si>
    <t>RULE-01</t>
  </si>
  <si>
    <t>PREF-01</t>
  </si>
  <si>
    <t>soft</t>
  </si>
  <si>
    <t>证券A计划期末保留数量</t>
  </si>
  <si>
    <t>与hard约束冲突时不得覆盖hard约束</t>
  </si>
  <si>
    <t>CLIENT-03</t>
  </si>
  <si>
    <t>PREF-02</t>
  </si>
  <si>
    <t>实现亏损</t>
  </si>
  <si>
    <t>min</t>
  </si>
  <si>
    <t>需与现金和风险约束共同比较</t>
  </si>
  <si>
    <t>CLIENT-04</t>
  </si>
  <si>
    <t>PREF-03</t>
  </si>
  <si>
    <t>发生交易的证券数量</t>
  </si>
  <si>
    <t>只</t>
  </si>
  <si>
    <t>降低操作复杂度</t>
  </si>
  <si>
    <t>CLIENT-05</t>
  </si>
  <si>
    <t>PREF-04</t>
  </si>
  <si>
    <t>证券B在股息支付日前卖出</t>
  </si>
  <si>
    <t>avoid</t>
  </si>
  <si>
    <t>如其他方案可满足hard约束，优先不卖证券B</t>
  </si>
  <si>
    <t>CLIENT-06</t>
  </si>
  <si>
    <t>费用与规则</t>
  </si>
  <si>
    <t>费用、交易制度和滑点均以本表为唯一口径。不得另行假设账户house rule。</t>
  </si>
  <si>
    <t>rule_id</t>
  </si>
  <si>
    <t>适用对象</t>
  </si>
  <si>
    <t>规则说明</t>
  </si>
  <si>
    <t>参数</t>
  </si>
  <si>
    <t>参数单位</t>
  </si>
  <si>
    <t>A股卖出结算</t>
  </si>
  <si>
    <t>全部A股</t>
  </si>
  <si>
    <t>卖出成交款当日可用于交易，下一交易日09:00起可划转</t>
  </si>
  <si>
    <t>以实际成交为前提</t>
  </si>
  <si>
    <t>OPS-01</t>
  </si>
  <si>
    <t>RULE-02</t>
  </si>
  <si>
    <t>A股T+1</t>
  </si>
  <si>
    <t>当日买入股份当日不得卖出；下一交易日起可卖</t>
  </si>
  <si>
    <t>证券A当日买入4,000股</t>
  </si>
  <si>
    <t>OPS-02</t>
  </si>
  <si>
    <t>RULE-03</t>
  </si>
  <si>
    <t>最小交易单位</t>
  </si>
  <si>
    <t>全部标的</t>
  </si>
  <si>
    <t>计划卖出数量按100股整数倍</t>
  </si>
  <si>
    <t>零碎股不在本题范围</t>
  </si>
  <si>
    <t>OPS-03</t>
  </si>
  <si>
    <t>FEE-01</t>
  </si>
  <si>
    <t>A股</t>
  </si>
  <si>
    <t>成交金额×费率，单笔最低5元</t>
  </si>
  <si>
    <t>买卖双边；本题计划主要使用卖出侧</t>
  </si>
  <si>
    <t>FEE-02</t>
  </si>
  <si>
    <t>卖出印花税</t>
  </si>
  <si>
    <t>仅卖出侧收取</t>
  </si>
  <si>
    <t>按附件假设</t>
  </si>
  <si>
    <t>FEE-03</t>
  </si>
  <si>
    <t>买卖双边收取</t>
  </si>
  <si>
    <t>按附件统一假设</t>
  </si>
  <si>
    <t>FEE-04</t>
  </si>
  <si>
    <t>本题ETF卖出无印花税</t>
  </si>
  <si>
    <t>FEE-05</t>
  </si>
  <si>
    <t>不收取</t>
  </si>
  <si>
    <t>SLIP-01</t>
  </si>
  <si>
    <t>单边滑点</t>
  </si>
  <si>
    <t>正常市场估算</t>
  </si>
  <si>
    <t>成交失败情景另行处理</t>
  </si>
  <si>
    <t>LIQ-01</t>
  </si>
  <si>
    <t>SLIP-02</t>
  </si>
  <si>
    <t>LIQ-02</t>
  </si>
  <si>
    <t>SLIP-03</t>
  </si>
  <si>
    <t>停牌时不可估算</t>
  </si>
  <si>
    <t>复牌需重新取得有效报价</t>
  </si>
  <si>
    <t>LIQ-03</t>
  </si>
  <si>
    <t>SLIP-04</t>
  </si>
  <si>
    <t>恢复有效买盘后的研究估算</t>
  </si>
  <si>
    <t>零买盘时不得使用滑点假设生成成交</t>
  </si>
  <si>
    <t>LIQ-04</t>
  </si>
  <si>
    <t>SLIP-05</t>
  </si>
  <si>
    <t>LIQ-05</t>
  </si>
  <si>
    <t>RULE-04</t>
  </si>
  <si>
    <t>ADV参与率</t>
  </si>
  <si>
    <t>单日计划成交量不超过20日ADV的5%</t>
  </si>
  <si>
    <t>停牌或零买盘优先适用可执行量0</t>
  </si>
  <si>
    <t>OPS-04</t>
  </si>
  <si>
    <t>RULE-05</t>
  </si>
  <si>
    <t>做T限制</t>
  </si>
  <si>
    <t>必须先卖已有可卖底仓，再回补不超过已卖数量；日终持仓不得增加</t>
  </si>
  <si>
    <t>价差须覆盖全部费用、滑点及0.10%缓冲</t>
  </si>
  <si>
    <t>OPS-05</t>
  </si>
  <si>
    <t>资金日历</t>
  </si>
  <si>
    <t>区分交易可用与可划转。计划卖出只有实际成交并到达可划转时点后才能计入现金目标。</t>
  </si>
  <si>
    <t>时间</t>
  </si>
  <si>
    <t>说明</t>
  </si>
  <si>
    <t>已知金额_CNY</t>
  </si>
  <si>
    <t>资金状态</t>
  </si>
  <si>
    <t>CAL-01</t>
  </si>
  <si>
    <t>决策截点</t>
  </si>
  <si>
    <t>收盘后不可再进行当日交易</t>
  </si>
  <si>
    <t>不适用</t>
  </si>
  <si>
    <t>CAL-SRC-01</t>
  </si>
  <si>
    <t>CAL-02</t>
  </si>
  <si>
    <t>旧证券卖出款结算</t>
  </si>
  <si>
    <t>8月28日已成交旧证券卖出款转为可划转；净额须扣交易批次费用税费</t>
  </si>
  <si>
    <t>可划转</t>
  </si>
  <si>
    <t>最早已知流入</t>
  </si>
  <si>
    <t>CAL-SRC-02</t>
  </si>
  <si>
    <t>CAL-03</t>
  </si>
  <si>
    <t>下一交易日开盘</t>
  </si>
  <si>
    <t>证券A当日买入的4,000股按T+1转为可卖；须再次核对券商状态</t>
  </si>
  <si>
    <t>计划最早执行日</t>
  </si>
  <si>
    <t>CAL-SRC-03</t>
  </si>
  <si>
    <t>CAL-04</t>
  </si>
  <si>
    <t>8月31日卖出款可划转</t>
  </si>
  <si>
    <t>仅限8月31日实际成交并已结算的税费后净额</t>
  </si>
  <si>
    <t>条件成立后可划转</t>
  </si>
  <si>
    <t>不得预先计入</t>
  </si>
  <si>
    <t>CAL-SRC-04</t>
  </si>
  <si>
    <t>CAL-05</t>
  </si>
  <si>
    <t>现金计划最终交易检查</t>
  </si>
  <si>
    <t>若9月2日10:00前需划款，9月1日收盘前须完成必要且可成交的卖出</t>
  </si>
  <si>
    <t>关键复核点</t>
  </si>
  <si>
    <t>CAL-SRC-05</t>
  </si>
  <si>
    <t>CAL-06</t>
  </si>
  <si>
    <t>9月1日卖出款可划转</t>
  </si>
  <si>
    <t>仅限9月1日实际成交并已结算的税费后净额</t>
  </si>
  <si>
    <t>晚于此时的成交不能满足10:00目标</t>
  </si>
  <si>
    <t>CAL-SRC-06</t>
  </si>
  <si>
    <t>CAL-07</t>
  </si>
  <si>
    <t>客户用款截止</t>
  </si>
  <si>
    <t>可划转人民币现金须不低于260,000元</t>
  </si>
  <si>
    <t>客户拟划转</t>
  </si>
  <si>
    <t>本任务不执行划款</t>
  </si>
  <si>
    <t>CAL-SRC-07</t>
  </si>
  <si>
    <t>CAL-08</t>
  </si>
  <si>
    <t>证券B股息支付</t>
  </si>
  <si>
    <t>预计3,750元；晚于用款截止，不得计入截止日前现金</t>
  </si>
  <si>
    <t>金额以公司行动记录为准</t>
  </si>
  <si>
    <t>CAL-SRC-08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</si>
</sst>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\-mm\-dd\ hh:mm"/>
    <numFmt numFmtId="177" formatCode="&quot;¥&quot;#,##0.00"/>
    <numFmt numFmtId="178" formatCode="0.000"/>
    <numFmt numFmtId="179" formatCode="yyyy\-mm\-dd"/>
    <numFmt numFmtId="180" formatCode="0.0"/>
    <numFmt numFmtId="181" formatCode="0.0%"/>
    <numFmt numFmtId="182" formatCode="0.000%"/>
  </numFmts>
  <fonts count="8">
    <font>
      <sz val="11"/>
      <name val="Carlito"/>
    </font>
    <font>
      <b/>
      <sz val="15"/>
      <color rgb="FF1F1F1F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Carlito"/>
    </font>
    <font>
      <sz val="9"/>
      <name val="FangSong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8">
    <border>
      <left/>
      <right/>
      <top/>
      <bottom/>
      <diagonal/>
    </border>
    <border>
      <left/>
      <right/>
      <top/>
      <bottom style="thin">
        <color rgb="FF7F7F7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2">
    <xf numFmtId="0" fontId="0" fillId="0" borderId="0"/>
    <xf numFmtId="0" fontId="6" fillId="0" borderId="0"/>
  </cellStyleXfs>
  <cellXfs count="69">
    <xf numFmtId="0" fontId="0" fillId="0" borderId="0" xfId="0"/>
    <xf numFmtId="0" fontId="1" fillId="0" borderId="1" xfId="1" applyFont="1" applyBorder="1"/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5" xfId="1" applyFont="1" applyBorder="1" applyAlignment="1">
      <alignment vertical="center" wrapText="1"/>
    </xf>
    <xf numFmtId="0" fontId="4" fillId="0" borderId="6" xfId="1" applyFont="1" applyBorder="1" applyAlignment="1">
      <alignment vertical="center" wrapText="1"/>
    </xf>
    <xf numFmtId="0" fontId="4" fillId="0" borderId="7" xfId="1" applyFont="1" applyBorder="1" applyAlignment="1">
      <alignment vertical="center" wrapText="1"/>
    </xf>
    <xf numFmtId="177" fontId="4" fillId="0" borderId="5" xfId="1" applyNumberFormat="1" applyFont="1" applyBorder="1" applyAlignment="1">
      <alignment vertical="center"/>
    </xf>
    <xf numFmtId="177" fontId="4" fillId="0" borderId="6" xfId="1" applyNumberFormat="1" applyFont="1" applyBorder="1" applyAlignment="1">
      <alignment vertical="center"/>
    </xf>
    <xf numFmtId="177" fontId="4" fillId="0" borderId="7" xfId="1" applyNumberFormat="1" applyFont="1" applyBorder="1" applyAlignment="1">
      <alignment vertical="center"/>
    </xf>
    <xf numFmtId="176" fontId="4" fillId="0" borderId="5" xfId="1" applyNumberFormat="1" applyFont="1" applyBorder="1" applyAlignment="1">
      <alignment vertical="center"/>
    </xf>
    <xf numFmtId="176" fontId="4" fillId="0" borderId="6" xfId="1" applyNumberFormat="1" applyFont="1" applyBorder="1" applyAlignment="1">
      <alignment vertical="center"/>
    </xf>
    <xf numFmtId="176" fontId="4" fillId="0" borderId="7" xfId="1" applyNumberFormat="1" applyFont="1" applyBorder="1" applyAlignment="1">
      <alignment vertical="center"/>
    </xf>
    <xf numFmtId="3" fontId="4" fillId="0" borderId="5" xfId="1" applyNumberFormat="1" applyFont="1" applyBorder="1" applyAlignment="1">
      <alignment vertical="center"/>
    </xf>
    <xf numFmtId="3" fontId="4" fillId="0" borderId="6" xfId="1" applyNumberFormat="1" applyFont="1" applyBorder="1" applyAlignment="1">
      <alignment vertical="center"/>
    </xf>
    <xf numFmtId="3" fontId="4" fillId="0" borderId="7" xfId="1" applyNumberFormat="1" applyFont="1" applyBorder="1" applyAlignment="1">
      <alignment vertical="center"/>
    </xf>
    <xf numFmtId="178" fontId="4" fillId="0" borderId="5" xfId="1" applyNumberFormat="1" applyFont="1" applyBorder="1" applyAlignment="1">
      <alignment vertical="center"/>
    </xf>
    <xf numFmtId="178" fontId="4" fillId="0" borderId="6" xfId="1" applyNumberFormat="1" applyFont="1" applyBorder="1" applyAlignment="1">
      <alignment vertical="center"/>
    </xf>
    <xf numFmtId="178" fontId="4" fillId="0" borderId="7" xfId="1" applyNumberFormat="1" applyFont="1" applyBorder="1" applyAlignment="1">
      <alignment vertical="center"/>
    </xf>
    <xf numFmtId="2" fontId="4" fillId="0" borderId="5" xfId="1" applyNumberFormat="1" applyFont="1" applyBorder="1" applyAlignment="1">
      <alignment vertical="center"/>
    </xf>
    <xf numFmtId="2" fontId="4" fillId="0" borderId="6" xfId="1" applyNumberFormat="1" applyFont="1" applyBorder="1" applyAlignment="1">
      <alignment vertical="center"/>
    </xf>
    <xf numFmtId="2" fontId="4" fillId="0" borderId="7" xfId="1" applyNumberFormat="1" applyFont="1" applyBorder="1" applyAlignment="1">
      <alignment vertical="center"/>
    </xf>
    <xf numFmtId="9" fontId="4" fillId="0" borderId="5" xfId="1" applyNumberFormat="1" applyFont="1" applyBorder="1" applyAlignment="1">
      <alignment vertical="center"/>
    </xf>
    <xf numFmtId="9" fontId="4" fillId="0" borderId="6" xfId="1" applyNumberFormat="1" applyFont="1" applyBorder="1" applyAlignment="1">
      <alignment vertical="center"/>
    </xf>
    <xf numFmtId="9" fontId="4" fillId="0" borderId="7" xfId="1" applyNumberFormat="1" applyFont="1" applyBorder="1" applyAlignment="1">
      <alignment vertical="center"/>
    </xf>
    <xf numFmtId="179" fontId="4" fillId="0" borderId="5" xfId="1" applyNumberFormat="1" applyFont="1" applyBorder="1" applyAlignment="1">
      <alignment vertical="center"/>
    </xf>
    <xf numFmtId="179" fontId="4" fillId="0" borderId="6" xfId="1" applyNumberFormat="1" applyFont="1" applyBorder="1" applyAlignment="1">
      <alignment vertical="center"/>
    </xf>
    <xf numFmtId="179" fontId="4" fillId="0" borderId="7" xfId="1" applyNumberFormat="1" applyFont="1" applyBorder="1" applyAlignment="1">
      <alignment vertical="center"/>
    </xf>
    <xf numFmtId="180" fontId="4" fillId="0" borderId="5" xfId="1" applyNumberFormat="1" applyFont="1" applyBorder="1" applyAlignment="1">
      <alignment vertical="center"/>
    </xf>
    <xf numFmtId="180" fontId="4" fillId="0" borderId="6" xfId="1" applyNumberFormat="1" applyFont="1" applyBorder="1" applyAlignment="1">
      <alignment vertical="center"/>
    </xf>
    <xf numFmtId="180" fontId="4" fillId="0" borderId="7" xfId="1" applyNumberFormat="1" applyFont="1" applyBorder="1" applyAlignment="1">
      <alignment vertical="center"/>
    </xf>
    <xf numFmtId="181" fontId="4" fillId="0" borderId="5" xfId="1" applyNumberFormat="1" applyFont="1" applyBorder="1" applyAlignment="1">
      <alignment vertical="center"/>
    </xf>
    <xf numFmtId="181" fontId="4" fillId="0" borderId="6" xfId="1" applyNumberFormat="1" applyFont="1" applyBorder="1" applyAlignment="1">
      <alignment vertical="center"/>
    </xf>
    <xf numFmtId="181" fontId="4" fillId="0" borderId="7" xfId="1" applyNumberFormat="1" applyFont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0" fontId="4" fillId="3" borderId="6" xfId="1" applyFont="1" applyFill="1" applyBorder="1" applyAlignment="1">
      <alignment vertical="center"/>
    </xf>
    <xf numFmtId="0" fontId="4" fillId="4" borderId="6" xfId="1" applyFont="1" applyFill="1" applyBorder="1" applyAlignment="1">
      <alignment vertical="center"/>
    </xf>
    <xf numFmtId="0" fontId="4" fillId="4" borderId="7" xfId="1" applyFont="1" applyFill="1" applyBorder="1" applyAlignment="1">
      <alignment vertical="center"/>
    </xf>
    <xf numFmtId="182" fontId="4" fillId="0" borderId="6" xfId="1" applyNumberFormat="1" applyFont="1" applyBorder="1" applyAlignment="1">
      <alignment vertical="center"/>
    </xf>
    <xf numFmtId="0" fontId="5" fillId="0" borderId="1" xfId="1" applyFont="1" applyBorder="1"/>
    <xf numFmtId="0" fontId="5" fillId="0" borderId="0" xfId="1" applyFont="1"/>
    <xf numFmtId="178" fontId="4" fillId="4" borderId="6" xfId="1" applyNumberFormat="1" applyFont="1" applyFill="1" applyBorder="1" applyAlignment="1">
      <alignment vertical="center"/>
    </xf>
    <xf numFmtId="176" fontId="4" fillId="4" borderId="6" xfId="1" applyNumberFormat="1" applyFont="1" applyFill="1" applyBorder="1" applyAlignment="1">
      <alignment vertical="center"/>
    </xf>
    <xf numFmtId="0" fontId="4" fillId="4" borderId="6" xfId="1" applyFont="1" applyFill="1" applyBorder="1" applyAlignment="1">
      <alignment vertical="center" wrapText="1"/>
    </xf>
    <xf numFmtId="3" fontId="4" fillId="4" borderId="6" xfId="1" applyNumberFormat="1" applyFont="1" applyFill="1" applyBorder="1" applyAlignment="1">
      <alignment vertical="center"/>
    </xf>
    <xf numFmtId="180" fontId="4" fillId="4" borderId="6" xfId="1" applyNumberFormat="1" applyFont="1" applyFill="1" applyBorder="1" applyAlignment="1">
      <alignment vertical="center"/>
    </xf>
    <xf numFmtId="178" fontId="4" fillId="3" borderId="6" xfId="1" applyNumberFormat="1" applyFont="1" applyFill="1" applyBorder="1" applyAlignment="1">
      <alignment vertical="center"/>
    </xf>
    <xf numFmtId="176" fontId="4" fillId="3" borderId="6" xfId="1" applyNumberFormat="1" applyFont="1" applyFill="1" applyBorder="1" applyAlignment="1">
      <alignment vertical="center"/>
    </xf>
    <xf numFmtId="0" fontId="4" fillId="3" borderId="6" xfId="1" applyFont="1" applyFill="1" applyBorder="1" applyAlignment="1">
      <alignment vertical="center" wrapText="1"/>
    </xf>
    <xf numFmtId="3" fontId="4" fillId="3" borderId="6" xfId="1" applyNumberFormat="1" applyFont="1" applyFill="1" applyBorder="1" applyAlignment="1">
      <alignment vertical="center"/>
    </xf>
    <xf numFmtId="180" fontId="4" fillId="3" borderId="6" xfId="1" applyNumberFormat="1" applyFont="1" applyFill="1" applyBorder="1" applyAlignment="1">
      <alignment vertical="center"/>
    </xf>
    <xf numFmtId="0" fontId="4" fillId="4" borderId="5" xfId="1" applyFont="1" applyFill="1" applyBorder="1" applyAlignment="1">
      <alignment vertical="center"/>
    </xf>
    <xf numFmtId="177" fontId="4" fillId="4" borderId="5" xfId="1" applyNumberFormat="1" applyFont="1" applyFill="1" applyBorder="1" applyAlignment="1">
      <alignment vertical="center"/>
    </xf>
    <xf numFmtId="0" fontId="4" fillId="4" borderId="5" xfId="1" applyFont="1" applyFill="1" applyBorder="1" applyAlignment="1">
      <alignment vertical="center" wrapText="1"/>
    </xf>
    <xf numFmtId="176" fontId="4" fillId="4" borderId="5" xfId="1" applyNumberFormat="1" applyFont="1" applyFill="1" applyBorder="1" applyAlignment="1">
      <alignment vertical="center"/>
    </xf>
    <xf numFmtId="2" fontId="4" fillId="3" borderId="6" xfId="1" applyNumberFormat="1" applyFont="1" applyFill="1" applyBorder="1" applyAlignment="1">
      <alignment vertical="center"/>
    </xf>
    <xf numFmtId="177" fontId="4" fillId="3" borderId="6" xfId="1" applyNumberFormat="1" applyFont="1" applyFill="1" applyBorder="1" applyAlignment="1">
      <alignment vertical="center"/>
    </xf>
    <xf numFmtId="0" fontId="4" fillId="5" borderId="6" xfId="1" applyFont="1" applyFill="1" applyBorder="1" applyAlignment="1">
      <alignment vertical="center"/>
    </xf>
    <xf numFmtId="176" fontId="4" fillId="5" borderId="6" xfId="1" applyNumberFormat="1" applyFont="1" applyFill="1" applyBorder="1" applyAlignment="1">
      <alignment vertical="center"/>
    </xf>
    <xf numFmtId="0" fontId="4" fillId="5" borderId="6" xfId="1" applyFont="1" applyFill="1" applyBorder="1" applyAlignment="1">
      <alignment vertical="center" wrapText="1"/>
    </xf>
    <xf numFmtId="177" fontId="4" fillId="5" borderId="6" xfId="1" applyNumberFormat="1" applyFont="1" applyFill="1" applyBorder="1" applyAlignment="1">
      <alignment vertical="center"/>
    </xf>
    <xf numFmtId="0" fontId="2" fillId="0" borderId="0" xfId="1" applyFont="1" applyAlignment="1">
      <alignment wrapText="1"/>
    </xf>
    <xf numFmtId="176" fontId="4" fillId="0" borderId="6" xfId="1" applyNumberFormat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177" fontId="4" fillId="0" borderId="6" xfId="1" applyNumberFormat="1" applyFont="1" applyBorder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1">
    <dxf>
      <font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InfoTable" displayName="TaskInfoTable" ref="A4:C16" totalsRowShown="0">
  <tableColumns count="3">
    <tableColumn id="1" xr3:uid="{00000000-0010-0000-0000-000001000000}" name="项目"/>
    <tableColumn id="2" xr3:uid="{00000000-0010-0000-0000-000002000000}" name="内容"/>
    <tableColumn id="3" xr3:uid="{00000000-0010-0000-0000-000003000000}" name="source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countCashTable" displayName="AccountCashTable" ref="A4:I11" totalsRowShown="0">
  <tableColumns count="9">
    <tableColumn id="1" xr3:uid="{00000000-0010-0000-0100-000001000000}" name="record_id"/>
    <tableColumn id="2" xr3:uid="{00000000-0010-0000-0100-000002000000}" name="项目"/>
    <tableColumn id="3" xr3:uid="{00000000-0010-0000-0100-000003000000}" name="金额_CNY"/>
    <tableColumn id="4" xr3:uid="{00000000-0010-0000-0100-000004000000}" name="状态"/>
    <tableColumn id="5" xr3:uid="{00000000-0010-0000-0100-000005000000}" name="available_ts"/>
    <tableColumn id="6" xr3:uid="{00000000-0010-0000-0100-000006000000}" name="transferable_ts"/>
    <tableColumn id="7" xr3:uid="{00000000-0010-0000-0100-000007000000}" name="计入口径"/>
    <tableColumn id="8" xr3:uid="{00000000-0010-0000-0100-000008000000}" name="备注"/>
    <tableColumn id="9" xr3:uid="{00000000-0010-0000-0100-000009000000}" name="source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fficialPositionsTable" displayName="OfficialPositionsTable" ref="A4:M9" totalsRowShown="0">
  <tableColumns count="13">
    <tableColumn id="1" xr3:uid="{00000000-0010-0000-0200-000001000000}" name="security_id"/>
    <tableColumn id="2" xr3:uid="{00000000-0010-0000-0200-000002000000}" name="脱敏名称"/>
    <tableColumn id="3" xr3:uid="{00000000-0010-0000-0200-000003000000}" name="资产类型"/>
    <tableColumn id="4" xr3:uid="{00000000-0010-0000-0200-000004000000}" name="市场"/>
    <tableColumn id="5" xr3:uid="{00000000-0010-0000-0200-000005000000}" name="行业"/>
    <tableColumn id="6" xr3:uid="{00000000-0010-0000-0200-000006000000}" name="总数量"/>
    <tableColumn id="7" xr3:uid="{00000000-0010-0000-0200-000007000000}" name="券商可卖数量"/>
    <tableColumn id="8" xr3:uid="{00000000-0010-0000-0200-000008000000}" name="冻结数量"/>
    <tableColumn id="9" xr3:uid="{00000000-0010-0000-0200-000009000000}" name="券商展示均价"/>
    <tableColumn id="10" xr3:uid="{00000000-0010-0000-0200-00000A000000}" name="账面价格"/>
    <tableColumn id="11" xr3:uid="{00000000-0010-0000-0200-00000B000000}" name="券商市值"/>
    <tableColumn id="12" xr3:uid="{00000000-0010-0000-0200-00000C000000}" name="价格时点"/>
    <tableColumn id="13" xr3:uid="{00000000-0010-0000-0200-00000D000000}" name="source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crCheckTable" displayName="OcrCheckTable" ref="A4:H11" totalsRowShown="0">
  <tableColumns count="8">
    <tableColumn id="1" xr3:uid="{00000000-0010-0000-0300-000001000000}" name="record_id"/>
    <tableColumn id="2" xr3:uid="{00000000-0010-0000-0300-000002000000}" name="security_id"/>
    <tableColumn id="3" xr3:uid="{00000000-0010-0000-0300-000003000000}" name="字段"/>
    <tableColumn id="4" xr3:uid="{00000000-0010-0000-0300-000004000000}" name="OCR值"/>
    <tableColumn id="5" xr3:uid="{00000000-0010-0000-0300-000005000000}" name="置信度"/>
    <tableColumn id="6" xr3:uid="{00000000-0010-0000-0300-000006000000}" name="识别问题"/>
    <tableColumn id="7" xr3:uid="{00000000-0010-0000-0300-000007000000}" name="使用规则"/>
    <tableColumn id="8" xr3:uid="{00000000-0010-0000-0300-000008000000}" name="source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radeLotsTable" displayName="TradeLotsTable" ref="A4:N12" totalsRowShown="0">
  <tableColumns count="14">
    <tableColumn id="1" xr3:uid="{00000000-0010-0000-0400-000001000000}" name="trade_id"/>
    <tableColumn id="2" xr3:uid="{00000000-0010-0000-0400-000002000000}" name="security_id"/>
    <tableColumn id="3" xr3:uid="{00000000-0010-0000-0400-000003000000}" name="成交时间"/>
    <tableColumn id="4" xr3:uid="{00000000-0010-0000-0400-000004000000}" name="方向"/>
    <tableColumn id="5" xr3:uid="{00000000-0010-0000-0400-000005000000}" name="数量"/>
    <tableColumn id="6" xr3:uid="{00000000-0010-0000-0400-000006000000}" name="成交价"/>
    <tableColumn id="7" xr3:uid="{00000000-0010-0000-0400-000007000000}" name="成交金额"/>
    <tableColumn id="8" xr3:uid="{00000000-0010-0000-0400-000008000000}" name="佣金"/>
    <tableColumn id="9" xr3:uid="{00000000-0010-0000-0400-000009000000}" name="过户费"/>
    <tableColumn id="10" xr3:uid="{00000000-0010-0000-0400-00000A000000}" name="印花税"/>
    <tableColumn id="11" xr3:uid="{00000000-0010-0000-0400-00000B000000}" name="结算日"/>
    <tableColumn id="12" xr3:uid="{00000000-0010-0000-0400-00000C000000}" name="可卖日"/>
    <tableColumn id="13" xr3:uid="{00000000-0010-0000-0400-00000D000000}" name="备注"/>
    <tableColumn id="14" xr3:uid="{00000000-0010-0000-0400-00000E000000}" name="source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rketStatusTable" displayName="MarketStatusTable" ref="A4:Q10" totalsRowShown="0">
  <tableColumns count="17">
    <tableColumn id="1" xr3:uid="{00000000-0010-0000-0500-000001000000}" name="record_id"/>
    <tableColumn id="2" xr3:uid="{00000000-0010-0000-0500-000002000000}" name="security_id"/>
    <tableColumn id="3" xr3:uid="{00000000-0010-0000-0500-000003000000}" name="记录类型"/>
    <tableColumn id="4" xr3:uid="{00000000-0010-0000-0500-000004000000}" name="价格"/>
    <tableColumn id="5" xr3:uid="{00000000-0010-0000-0500-000005000000}" name="price_ts"/>
    <tableColumn id="6" xr3:uid="{00000000-0010-0000-0500-000006000000}" name="前收盘"/>
    <tableColumn id="7" xr3:uid="{00000000-0010-0000-0500-000007000000}" name="调整后前收盘"/>
    <tableColumn id="8" xr3:uid="{00000000-0010-0000-0500-000008000000}" name="交易状态"/>
    <tableColumn id="9" xr3:uid="{00000000-0010-0000-0500-000009000000}" name="跌停价"/>
    <tableColumn id="10" xr3:uid="{00000000-0010-0000-0500-00000A000000}" name="涨停价"/>
    <tableColumn id="11" xr3:uid="{00000000-0010-0000-0500-00000B000000}" name="最佳买价"/>
    <tableColumn id="12" xr3:uid="{00000000-0010-0000-0500-00000C000000}" name="最佳买量"/>
    <tableColumn id="13" xr3:uid="{00000000-0010-0000-0500-00000D000000}" name="20日ADV_股"/>
    <tableColumn id="14" xr3:uid="{00000000-0010-0000-0500-00000E000000}" name="价差_bps"/>
    <tableColumn id="15" xr3:uid="{00000000-0010-0000-0500-00000F000000}" name="技术或口径备注"/>
    <tableColumn id="16" xr3:uid="{00000000-0010-0000-0500-000010000000}" name="available_ts"/>
    <tableColumn id="17" xr3:uid="{00000000-0010-0000-0500-000011000000}" name="source_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rporateActionsTable" displayName="CorporateActionsTable" ref="A4:K6" totalsRowShown="0">
  <tableColumns count="11">
    <tableColumn id="1" xr3:uid="{00000000-0010-0000-0600-000001000000}" name="event_id"/>
    <tableColumn id="2" xr3:uid="{00000000-0010-0000-0600-000002000000}" name="security_id"/>
    <tableColumn id="3" xr3:uid="{00000000-0010-0000-0600-000003000000}" name="事件"/>
    <tableColumn id="4" xr3:uid="{00000000-0010-0000-0600-000004000000}" name="公告可知时间"/>
    <tableColumn id="5" xr3:uid="{00000000-0010-0000-0600-000005000000}" name="登记日"/>
    <tableColumn id="6" xr3:uid="{00000000-0010-0000-0600-000006000000}" name="除息或生效日"/>
    <tableColumn id="7" xr3:uid="{00000000-0010-0000-0600-000007000000}" name="支付日"/>
    <tableColumn id="8" xr3:uid="{00000000-0010-0000-0600-000008000000}" name="每股金额"/>
    <tableColumn id="9" xr3:uid="{00000000-0010-0000-0600-000009000000}" name="当前状态"/>
    <tableColumn id="10" xr3:uid="{00000000-0010-0000-0600-00000A000000}" name="使用规则"/>
    <tableColumn id="11" xr3:uid="{00000000-0010-0000-0600-00000B000000}" name="source_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iskParamsTable" displayName="RiskParamsTable" ref="A4:I9" totalsRowShown="0">
  <tableColumns count="9">
    <tableColumn id="1" xr3:uid="{00000000-0010-0000-0700-000001000000}" name="security_id"/>
    <tableColumn id="2" xr3:uid="{00000000-0010-0000-0700-000002000000}" name="脱敏名称"/>
    <tableColumn id="3" xr3:uid="{00000000-0010-0000-0700-000003000000}" name="年化波动率"/>
    <tableColumn id="4" xr3:uid="{00000000-0010-0000-0700-000004000000}" name="beta"/>
    <tableColumn id="5" xr3:uid="{00000000-0010-0000-0700-000005000000}" name="高波动标签"/>
    <tableColumn id="6" xr3:uid="{00000000-0010-0000-0700-000006000000}" name="行业"/>
    <tableColumn id="7" xr3:uid="{00000000-0010-0000-0700-000007000000}" name="流动性等级"/>
    <tableColumn id="8" xr3:uid="{00000000-0010-0000-0700-000008000000}" name="风险备注"/>
    <tableColumn id="9" xr3:uid="{00000000-0010-0000-0700-000009000000}" name="source_i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rrelationTable" displayName="CorrelationTable" ref="A4:G9" totalsRowShown="0">
  <tableColumns count="7">
    <tableColumn id="1" xr3:uid="{00000000-0010-0000-0800-000001000000}" name="security_id"/>
    <tableColumn id="2" xr3:uid="{00000000-0010-0000-0800-000002000000}" name="SYN201.SH"/>
    <tableColumn id="3" xr3:uid="{00000000-0010-0000-0800-000003000000}" name="SYN202.SZ"/>
    <tableColumn id="4" xr3:uid="{00000000-0010-0000-0800-000004000000}" name="SYN203.SH"/>
    <tableColumn id="5" xr3:uid="{00000000-0010-0000-0800-000005000000}" name="SYN204.SZ"/>
    <tableColumn id="6" xr3:uid="{00000000-0010-0000-0800-000006000000}" name="SYNETF.SH"/>
    <tableColumn id="7" xr3:uid="{00000000-0010-0000-0800-000007000000}" name="source_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tressScenariosTable" displayName="StressScenariosTable" ref="A4:G19" totalsRowShown="0">
  <tableColumns count="7">
    <tableColumn id="1" xr3:uid="{00000000-0010-0000-0900-000001000000}" name="scenario_id"/>
    <tableColumn id="2" xr3:uid="{00000000-0010-0000-0900-000002000000}" name="情景名称"/>
    <tableColumn id="3" xr3:uid="{00000000-0010-0000-0900-000003000000}" name="security_id"/>
    <tableColumn id="4" xr3:uid="{00000000-0010-0000-0900-000004000000}" name="价格冲击"/>
    <tableColumn id="5" xr3:uid="{00000000-0010-0000-0900-000005000000}" name="成交假设"/>
    <tableColumn id="6" xr3:uid="{00000000-0010-0000-0900-000006000000}" name="情景说明"/>
    <tableColumn id="7" xr3:uid="{00000000-0010-0000-0900-000007000000}" name="source_i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onstraintsTable" displayName="ConstraintsTable" ref="A4:H18" totalsRowShown="0">
  <tableColumns count="8">
    <tableColumn id="1" xr3:uid="{00000000-0010-0000-0A00-000001000000}" name="constraint_id"/>
    <tableColumn id="2" xr3:uid="{00000000-0010-0000-0A00-000002000000}" name="级别"/>
    <tableColumn id="3" xr3:uid="{00000000-0010-0000-0A00-000003000000}" name="指标"/>
    <tableColumn id="4" xr3:uid="{00000000-0010-0000-0A00-000004000000}" name="关系"/>
    <tableColumn id="5" xr3:uid="{00000000-0010-0000-0A00-000005000000}" name="阈值"/>
    <tableColumn id="6" xr3:uid="{00000000-0010-0000-0A00-000006000000}" name="单位或分母"/>
    <tableColumn id="7" xr3:uid="{00000000-0010-0000-0A00-000007000000}" name="解释"/>
    <tableColumn id="8" xr3:uid="{00000000-0010-0000-0A00-000008000000}" name="source_i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eesRulesTable" displayName="FeesRulesTable" ref="A4:H19" totalsRowShown="0">
  <tableColumns count="8">
    <tableColumn id="1" xr3:uid="{00000000-0010-0000-0B00-000001000000}" name="rule_id"/>
    <tableColumn id="2" xr3:uid="{00000000-0010-0000-0B00-000002000000}" name="项目"/>
    <tableColumn id="3" xr3:uid="{00000000-0010-0000-0B00-000003000000}" name="适用对象"/>
    <tableColumn id="4" xr3:uid="{00000000-0010-0000-0B00-000004000000}" name="规则说明"/>
    <tableColumn id="5" xr3:uid="{00000000-0010-0000-0B00-000005000000}" name="参数"/>
    <tableColumn id="6" xr3:uid="{00000000-0010-0000-0B00-000006000000}" name="参数单位"/>
    <tableColumn id="7" xr3:uid="{00000000-0010-0000-0B00-000007000000}" name="备注"/>
    <tableColumn id="8" xr3:uid="{00000000-0010-0000-0B00-000008000000}" name="source_i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ashCalendarTable" displayName="CashCalendarTable" ref="A4:H12" totalsRowShown="0">
  <tableColumns count="8">
    <tableColumn id="1" xr3:uid="{00000000-0010-0000-0C00-000001000000}" name="event_id"/>
    <tableColumn id="2" xr3:uid="{00000000-0010-0000-0C00-000002000000}" name="时间"/>
    <tableColumn id="3" xr3:uid="{00000000-0010-0000-0C00-000003000000}" name="事件"/>
    <tableColumn id="4" xr3:uid="{00000000-0010-0000-0C00-000004000000}" name="说明"/>
    <tableColumn id="5" xr3:uid="{00000000-0010-0000-0C00-000005000000}" name="已知金额_CNY"/>
    <tableColumn id="6" xr3:uid="{00000000-0010-0000-0C00-000006000000}" name="资金状态"/>
    <tableColumn id="7" xr3:uid="{00000000-0010-0000-0C00-000007000000}" name="使用规则"/>
    <tableColumn id="8" xr3:uid="{00000000-0010-0000-0C00-000008000000}" name="source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16"/>
  <sheetViews>
    <sheetView showGridLines="0" tabSelected="1" workbookViewId="0">
      <pane ySplit="4" topLeftCell="A5" activePane="bottomLeft" state="frozen"/>
      <selection pane="bottomLeft" activeCell="B21" sqref="B21"/>
    </sheetView>
  </sheetViews>
  <sheetFormatPr baseColWidth="10" defaultColWidth="8.83203125" defaultRowHeight="14"/>
  <cols>
    <col min="1" max="1" width="16.6640625" customWidth="1"/>
    <col min="2" max="2" width="68.83203125" customWidth="1"/>
    <col min="3" max="3" width="12.1640625" customWidth="1"/>
  </cols>
  <sheetData>
    <row r="1" spans="1:3" ht="19">
      <c r="A1" s="1" t="s">
        <v>0</v>
      </c>
      <c r="B1" s="43"/>
      <c r="C1" s="43"/>
    </row>
    <row r="2" spans="1:3">
      <c r="A2" s="65" t="s">
        <v>1</v>
      </c>
      <c r="B2" s="65"/>
      <c r="C2" s="65"/>
    </row>
    <row r="3" spans="1:3">
      <c r="A3" s="44"/>
      <c r="B3" s="44"/>
      <c r="C3" s="44"/>
    </row>
    <row r="4" spans="1:3" ht="25.5" customHeight="1">
      <c r="A4" s="2" t="s">
        <v>2</v>
      </c>
      <c r="B4" s="3" t="s">
        <v>3</v>
      </c>
      <c r="C4" s="4" t="s">
        <v>4</v>
      </c>
    </row>
    <row r="5" spans="1:3" ht="15" customHeight="1">
      <c r="A5" s="5" t="s">
        <v>5</v>
      </c>
      <c r="B5" s="8" t="s">
        <v>6</v>
      </c>
      <c r="C5" s="5" t="s">
        <v>7</v>
      </c>
    </row>
    <row r="6" spans="1:3" ht="15" customHeight="1">
      <c r="A6" s="6" t="s">
        <v>8</v>
      </c>
      <c r="B6" s="66">
        <v>46262.638888888891</v>
      </c>
      <c r="C6" s="6" t="s">
        <v>9</v>
      </c>
    </row>
    <row r="7" spans="1:3" ht="15" customHeight="1">
      <c r="A7" s="6" t="s">
        <v>10</v>
      </c>
      <c r="B7" s="67" t="s">
        <v>11</v>
      </c>
      <c r="C7" s="6" t="s">
        <v>12</v>
      </c>
    </row>
    <row r="8" spans="1:3" ht="15" customHeight="1">
      <c r="A8" s="6" t="s">
        <v>13</v>
      </c>
      <c r="B8" s="66">
        <v>46267.416666666664</v>
      </c>
      <c r="C8" s="6" t="s">
        <v>14</v>
      </c>
    </row>
    <row r="9" spans="1:3" ht="15" customHeight="1">
      <c r="A9" s="6" t="s">
        <v>15</v>
      </c>
      <c r="B9" s="68">
        <v>260000</v>
      </c>
      <c r="C9" s="6" t="s">
        <v>16</v>
      </c>
    </row>
    <row r="10" spans="1:3" ht="15" customHeight="1">
      <c r="A10" s="6" t="s">
        <v>17</v>
      </c>
      <c r="B10" s="9" t="s">
        <v>18</v>
      </c>
      <c r="C10" s="6" t="s">
        <v>19</v>
      </c>
    </row>
    <row r="11" spans="1:3" ht="15" customHeight="1">
      <c r="A11" s="6" t="s">
        <v>20</v>
      </c>
      <c r="B11" s="9" t="s">
        <v>21</v>
      </c>
      <c r="C11" s="6" t="s">
        <v>22</v>
      </c>
    </row>
    <row r="12" spans="1:3" ht="15" customHeight="1">
      <c r="A12" s="6" t="s">
        <v>23</v>
      </c>
      <c r="B12" s="9" t="s">
        <v>24</v>
      </c>
      <c r="C12" s="6" t="s">
        <v>25</v>
      </c>
    </row>
    <row r="13" spans="1:3" ht="15" customHeight="1">
      <c r="A13" s="6" t="s">
        <v>26</v>
      </c>
      <c r="B13" s="9" t="s">
        <v>27</v>
      </c>
      <c r="C13" s="6" t="s">
        <v>28</v>
      </c>
    </row>
    <row r="14" spans="1:3" ht="15" customHeight="1">
      <c r="A14" s="6" t="s">
        <v>29</v>
      </c>
      <c r="B14" s="9" t="s">
        <v>30</v>
      </c>
      <c r="C14" s="6" t="s">
        <v>31</v>
      </c>
    </row>
    <row r="15" spans="1:3" ht="15" customHeight="1">
      <c r="A15" s="6" t="s">
        <v>32</v>
      </c>
      <c r="B15" s="9" t="s">
        <v>33</v>
      </c>
      <c r="C15" s="6" t="s">
        <v>34</v>
      </c>
    </row>
    <row r="16" spans="1:3" ht="15" customHeight="1">
      <c r="A16" s="7" t="s">
        <v>35</v>
      </c>
      <c r="B16" s="10" t="s">
        <v>36</v>
      </c>
      <c r="C16" s="7" t="s">
        <v>37</v>
      </c>
    </row>
  </sheetData>
  <mergeCells count="1">
    <mergeCell ref="A2:C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I11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10.5" customWidth="1"/>
    <col min="2" max="2" width="22.83203125" customWidth="1"/>
    <col min="3" max="3" width="13.33203125" customWidth="1"/>
    <col min="4" max="4" width="21.1640625" customWidth="1"/>
    <col min="5" max="6" width="16.1640625" customWidth="1"/>
    <col min="7" max="7" width="26.6640625" customWidth="1"/>
    <col min="8" max="8" width="34.5" customWidth="1"/>
    <col min="9" max="9" width="12.83203125" customWidth="1"/>
  </cols>
  <sheetData>
    <row r="1" spans="1:9" ht="19">
      <c r="A1" s="1" t="s">
        <v>38</v>
      </c>
      <c r="B1" s="43"/>
      <c r="C1" s="43"/>
      <c r="D1" s="43"/>
      <c r="E1" s="43"/>
      <c r="F1" s="43"/>
      <c r="G1" s="43"/>
      <c r="H1" s="43"/>
      <c r="I1" s="43"/>
    </row>
    <row r="2" spans="1:9">
      <c r="A2" s="65" t="s">
        <v>39</v>
      </c>
      <c r="B2" s="65"/>
      <c r="C2" s="65"/>
      <c r="D2" s="65"/>
      <c r="E2" s="65"/>
      <c r="F2" s="65"/>
      <c r="G2" s="65"/>
      <c r="H2" s="65"/>
      <c r="I2" s="65"/>
    </row>
    <row r="3" spans="1:9">
      <c r="A3" s="44"/>
      <c r="B3" s="44"/>
      <c r="C3" s="44"/>
      <c r="D3" s="44"/>
      <c r="E3" s="44"/>
      <c r="F3" s="44"/>
      <c r="G3" s="44"/>
      <c r="H3" s="44"/>
      <c r="I3" s="44"/>
    </row>
    <row r="4" spans="1:9" ht="25.5" customHeight="1">
      <c r="A4" s="2" t="s">
        <v>40</v>
      </c>
      <c r="B4" s="3" t="s">
        <v>2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4" t="s">
        <v>4</v>
      </c>
    </row>
    <row r="5" spans="1:9" ht="15" customHeight="1">
      <c r="A5" s="55" t="s">
        <v>47</v>
      </c>
      <c r="B5" s="55" t="s">
        <v>48</v>
      </c>
      <c r="C5" s="56">
        <v>1038800</v>
      </c>
      <c r="D5" s="57" t="s">
        <v>49</v>
      </c>
      <c r="E5" s="58">
        <v>46262.635416666664</v>
      </c>
      <c r="F5" s="58">
        <v>46262.635416666664</v>
      </c>
      <c r="G5" s="57" t="s">
        <v>50</v>
      </c>
      <c r="H5" s="57" t="s">
        <v>51</v>
      </c>
      <c r="I5" s="55" t="s">
        <v>52</v>
      </c>
    </row>
    <row r="6" spans="1:9" ht="15" customHeight="1">
      <c r="A6" s="6" t="s">
        <v>53</v>
      </c>
      <c r="B6" s="6" t="s">
        <v>54</v>
      </c>
      <c r="C6" s="12">
        <v>58000</v>
      </c>
      <c r="D6" s="9" t="s">
        <v>55</v>
      </c>
      <c r="E6" s="15">
        <v>46262.635416666664</v>
      </c>
      <c r="F6" s="15">
        <v>46262.635416666664</v>
      </c>
      <c r="G6" s="9" t="s">
        <v>56</v>
      </c>
      <c r="H6" s="9" t="s">
        <v>57</v>
      </c>
      <c r="I6" s="6" t="s">
        <v>58</v>
      </c>
    </row>
    <row r="7" spans="1:9" ht="24" customHeight="1">
      <c r="A7" s="6" t="s">
        <v>59</v>
      </c>
      <c r="B7" s="6" t="s">
        <v>60</v>
      </c>
      <c r="C7" s="12">
        <v>76000</v>
      </c>
      <c r="D7" s="9" t="s">
        <v>61</v>
      </c>
      <c r="E7" s="15">
        <v>46262.635416666664</v>
      </c>
      <c r="F7" s="15"/>
      <c r="G7" s="9" t="s">
        <v>62</v>
      </c>
      <c r="H7" s="9" t="s">
        <v>63</v>
      </c>
      <c r="I7" s="6" t="s">
        <v>64</v>
      </c>
    </row>
    <row r="8" spans="1:9" ht="15" customHeight="1">
      <c r="A8" s="6" t="s">
        <v>65</v>
      </c>
      <c r="B8" s="6" t="s">
        <v>66</v>
      </c>
      <c r="C8" s="12">
        <v>18000</v>
      </c>
      <c r="D8" s="9" t="s">
        <v>67</v>
      </c>
      <c r="E8" s="15">
        <v>46262.635416666664</v>
      </c>
      <c r="F8" s="15">
        <v>46265.375</v>
      </c>
      <c r="G8" s="9" t="s">
        <v>56</v>
      </c>
      <c r="H8" s="9" t="s">
        <v>68</v>
      </c>
      <c r="I8" s="6" t="s">
        <v>69</v>
      </c>
    </row>
    <row r="9" spans="1:9" ht="15" customHeight="1">
      <c r="A9" s="6" t="s">
        <v>70</v>
      </c>
      <c r="B9" s="6" t="s">
        <v>71</v>
      </c>
      <c r="C9" s="12">
        <v>3750</v>
      </c>
      <c r="D9" s="9" t="s">
        <v>72</v>
      </c>
      <c r="E9" s="15">
        <v>46262.375</v>
      </c>
      <c r="F9" s="15">
        <v>46268.375</v>
      </c>
      <c r="G9" s="9" t="s">
        <v>73</v>
      </c>
      <c r="H9" s="9" t="s">
        <v>74</v>
      </c>
      <c r="I9" s="6" t="s">
        <v>75</v>
      </c>
    </row>
    <row r="10" spans="1:9" ht="15" customHeight="1">
      <c r="A10" s="6" t="s">
        <v>76</v>
      </c>
      <c r="B10" s="6" t="s">
        <v>77</v>
      </c>
      <c r="C10" s="12">
        <v>260000</v>
      </c>
      <c r="D10" s="9" t="s">
        <v>78</v>
      </c>
      <c r="E10" s="15">
        <v>46262.5</v>
      </c>
      <c r="F10" s="15">
        <v>46267.416666666664</v>
      </c>
      <c r="G10" s="9" t="s">
        <v>79</v>
      </c>
      <c r="H10" s="9" t="s">
        <v>80</v>
      </c>
      <c r="I10" s="6" t="s">
        <v>81</v>
      </c>
    </row>
    <row r="11" spans="1:9" ht="15" customHeight="1">
      <c r="A11" s="7" t="s">
        <v>82</v>
      </c>
      <c r="B11" s="7" t="s">
        <v>83</v>
      </c>
      <c r="C11" s="13">
        <v>0</v>
      </c>
      <c r="D11" s="10" t="s">
        <v>84</v>
      </c>
      <c r="E11" s="16">
        <v>46262.5</v>
      </c>
      <c r="F11" s="16"/>
      <c r="G11" s="10" t="s">
        <v>85</v>
      </c>
      <c r="H11" s="10" t="s">
        <v>86</v>
      </c>
      <c r="I11" s="7" t="s">
        <v>87</v>
      </c>
    </row>
  </sheetData>
  <mergeCells count="1">
    <mergeCell ref="A2:I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M9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2" width="11.6640625" customWidth="1"/>
    <col min="3" max="3" width="12.1640625" customWidth="1"/>
    <col min="4" max="5" width="10" customWidth="1"/>
    <col min="6" max="6" width="9.5" customWidth="1"/>
    <col min="7" max="7" width="11.6640625" customWidth="1"/>
    <col min="8" max="8" width="10" customWidth="1"/>
    <col min="9" max="9" width="12.1640625" customWidth="1"/>
    <col min="10" max="10" width="10.5" customWidth="1"/>
    <col min="11" max="11" width="12.83203125" customWidth="1"/>
    <col min="12" max="12" width="16.1640625" customWidth="1"/>
    <col min="13" max="13" width="12.83203125" customWidth="1"/>
  </cols>
  <sheetData>
    <row r="1" spans="1:13" ht="19">
      <c r="A1" s="1" t="s">
        <v>88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>
      <c r="A2" s="65" t="s">
        <v>89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1:13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3" ht="25.5" customHeight="1">
      <c r="A4" s="2" t="s">
        <v>90</v>
      </c>
      <c r="B4" s="3" t="s">
        <v>91</v>
      </c>
      <c r="C4" s="3" t="s">
        <v>92</v>
      </c>
      <c r="D4" s="3" t="s">
        <v>93</v>
      </c>
      <c r="E4" s="3" t="s">
        <v>94</v>
      </c>
      <c r="F4" s="3" t="s">
        <v>95</v>
      </c>
      <c r="G4" s="3" t="s">
        <v>96</v>
      </c>
      <c r="H4" s="3" t="s">
        <v>97</v>
      </c>
      <c r="I4" s="3" t="s">
        <v>98</v>
      </c>
      <c r="J4" s="3" t="s">
        <v>99</v>
      </c>
      <c r="K4" s="3" t="s">
        <v>100</v>
      </c>
      <c r="L4" s="3" t="s">
        <v>101</v>
      </c>
      <c r="M4" s="4" t="s">
        <v>4</v>
      </c>
    </row>
    <row r="5" spans="1:13" ht="15" customHeight="1">
      <c r="A5" s="5" t="s">
        <v>102</v>
      </c>
      <c r="B5" s="5" t="s">
        <v>103</v>
      </c>
      <c r="C5" s="8" t="s">
        <v>104</v>
      </c>
      <c r="D5" s="5" t="s">
        <v>105</v>
      </c>
      <c r="E5" s="5" t="s">
        <v>106</v>
      </c>
      <c r="F5" s="17">
        <v>18000</v>
      </c>
      <c r="G5" s="17">
        <v>14000</v>
      </c>
      <c r="H5" s="17">
        <v>4000</v>
      </c>
      <c r="I5" s="20">
        <v>21.32</v>
      </c>
      <c r="J5" s="23">
        <v>22.4</v>
      </c>
      <c r="K5" s="11">
        <v>403200</v>
      </c>
      <c r="L5" s="14">
        <v>46262.625</v>
      </c>
      <c r="M5" s="5" t="s">
        <v>107</v>
      </c>
    </row>
    <row r="6" spans="1:13" ht="15" customHeight="1">
      <c r="A6" s="6" t="s">
        <v>108</v>
      </c>
      <c r="B6" s="6" t="s">
        <v>109</v>
      </c>
      <c r="C6" s="9" t="s">
        <v>104</v>
      </c>
      <c r="D6" s="6" t="s">
        <v>110</v>
      </c>
      <c r="E6" s="6" t="s">
        <v>111</v>
      </c>
      <c r="F6" s="18">
        <v>12500</v>
      </c>
      <c r="G6" s="18">
        <v>12500</v>
      </c>
      <c r="H6" s="18">
        <v>0</v>
      </c>
      <c r="I6" s="21">
        <v>8.11</v>
      </c>
      <c r="J6" s="24">
        <v>7.86</v>
      </c>
      <c r="K6" s="12">
        <v>98250</v>
      </c>
      <c r="L6" s="15">
        <v>46262.625</v>
      </c>
      <c r="M6" s="6" t="s">
        <v>112</v>
      </c>
    </row>
    <row r="7" spans="1:13" ht="15" customHeight="1">
      <c r="A7" s="39" t="s">
        <v>113</v>
      </c>
      <c r="B7" s="39" t="s">
        <v>114</v>
      </c>
      <c r="C7" s="52" t="s">
        <v>104</v>
      </c>
      <c r="D7" s="39" t="s">
        <v>105</v>
      </c>
      <c r="E7" s="39" t="s">
        <v>115</v>
      </c>
      <c r="F7" s="53">
        <v>8000</v>
      </c>
      <c r="G7" s="53">
        <v>8000</v>
      </c>
      <c r="H7" s="53">
        <v>0</v>
      </c>
      <c r="I7" s="50">
        <v>14.52</v>
      </c>
      <c r="J7" s="59">
        <v>15.2</v>
      </c>
      <c r="K7" s="60">
        <v>121600</v>
      </c>
      <c r="L7" s="51">
        <v>46258.625</v>
      </c>
      <c r="M7" s="39" t="s">
        <v>116</v>
      </c>
    </row>
    <row r="8" spans="1:13" ht="15" customHeight="1">
      <c r="A8" s="39" t="s">
        <v>117</v>
      </c>
      <c r="B8" s="39" t="s">
        <v>118</v>
      </c>
      <c r="C8" s="52" t="s">
        <v>104</v>
      </c>
      <c r="D8" s="39" t="s">
        <v>110</v>
      </c>
      <c r="E8" s="39" t="s">
        <v>106</v>
      </c>
      <c r="F8" s="53">
        <v>10000</v>
      </c>
      <c r="G8" s="53">
        <v>10000</v>
      </c>
      <c r="H8" s="53">
        <v>0</v>
      </c>
      <c r="I8" s="50">
        <v>16.82</v>
      </c>
      <c r="J8" s="59">
        <v>13.5</v>
      </c>
      <c r="K8" s="60">
        <v>135000</v>
      </c>
      <c r="L8" s="51">
        <v>46262.625</v>
      </c>
      <c r="M8" s="39" t="s">
        <v>119</v>
      </c>
    </row>
    <row r="9" spans="1:13" ht="15" customHeight="1">
      <c r="A9" s="7" t="s">
        <v>120</v>
      </c>
      <c r="B9" s="7" t="s">
        <v>121</v>
      </c>
      <c r="C9" s="10" t="s">
        <v>122</v>
      </c>
      <c r="D9" s="7" t="s">
        <v>105</v>
      </c>
      <c r="E9" s="7" t="s">
        <v>123</v>
      </c>
      <c r="F9" s="19">
        <v>50000</v>
      </c>
      <c r="G9" s="19">
        <v>50000</v>
      </c>
      <c r="H9" s="19">
        <v>0</v>
      </c>
      <c r="I9" s="22">
        <v>3.9249999999999998</v>
      </c>
      <c r="J9" s="25">
        <v>4.12</v>
      </c>
      <c r="K9" s="13">
        <v>206000</v>
      </c>
      <c r="L9" s="16">
        <v>46262.625</v>
      </c>
      <c r="M9" s="7" t="s">
        <v>124</v>
      </c>
    </row>
  </sheetData>
  <mergeCells count="1">
    <mergeCell ref="A2:M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H11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2" width="11.6640625" customWidth="1"/>
    <col min="3" max="3" width="12.83203125" customWidth="1"/>
    <col min="4" max="4" width="11.6640625" customWidth="1"/>
    <col min="5" max="5" width="9.5" customWidth="1"/>
    <col min="6" max="6" width="27.83203125" customWidth="1"/>
    <col min="7" max="7" width="34.5" customWidth="1"/>
    <col min="8" max="8" width="11.1640625" customWidth="1"/>
  </cols>
  <sheetData>
    <row r="1" spans="1:8" ht="19">
      <c r="A1" s="1" t="s">
        <v>125</v>
      </c>
      <c r="B1" s="43"/>
      <c r="C1" s="43"/>
      <c r="D1" s="43"/>
      <c r="E1" s="43"/>
      <c r="F1" s="43"/>
      <c r="G1" s="43"/>
      <c r="H1" s="43"/>
    </row>
    <row r="2" spans="1:8">
      <c r="A2" s="65" t="s">
        <v>126</v>
      </c>
      <c r="B2" s="65"/>
      <c r="C2" s="65"/>
      <c r="D2" s="65"/>
      <c r="E2" s="65"/>
      <c r="F2" s="65"/>
      <c r="G2" s="65"/>
      <c r="H2" s="65"/>
    </row>
    <row r="3" spans="1:8">
      <c r="A3" s="44"/>
      <c r="B3" s="44"/>
      <c r="C3" s="44"/>
      <c r="D3" s="44"/>
      <c r="E3" s="44"/>
      <c r="F3" s="44"/>
      <c r="G3" s="44"/>
      <c r="H3" s="44"/>
    </row>
    <row r="4" spans="1:8" ht="25.5" customHeight="1">
      <c r="A4" s="2" t="s">
        <v>40</v>
      </c>
      <c r="B4" s="3" t="s">
        <v>90</v>
      </c>
      <c r="C4" s="3" t="s">
        <v>127</v>
      </c>
      <c r="D4" s="3" t="s">
        <v>128</v>
      </c>
      <c r="E4" s="3" t="s">
        <v>129</v>
      </c>
      <c r="F4" s="3" t="s">
        <v>130</v>
      </c>
      <c r="G4" s="3" t="s">
        <v>131</v>
      </c>
      <c r="H4" s="4" t="s">
        <v>4</v>
      </c>
    </row>
    <row r="5" spans="1:8" ht="15" customHeight="1">
      <c r="A5" s="5" t="s">
        <v>132</v>
      </c>
      <c r="B5" s="5" t="s">
        <v>102</v>
      </c>
      <c r="C5" s="5" t="s">
        <v>133</v>
      </c>
      <c r="D5" s="5" t="s">
        <v>134</v>
      </c>
      <c r="E5" s="26">
        <v>0.62</v>
      </c>
      <c r="F5" s="8" t="s">
        <v>135</v>
      </c>
      <c r="G5" s="8" t="s">
        <v>136</v>
      </c>
      <c r="H5" s="5" t="s">
        <v>137</v>
      </c>
    </row>
    <row r="6" spans="1:8" ht="15" customHeight="1">
      <c r="A6" s="6" t="s">
        <v>138</v>
      </c>
      <c r="B6" s="6" t="s">
        <v>102</v>
      </c>
      <c r="C6" s="6" t="s">
        <v>139</v>
      </c>
      <c r="D6" s="6" t="s">
        <v>140</v>
      </c>
      <c r="E6" s="27">
        <v>0.94</v>
      </c>
      <c r="F6" s="9" t="s">
        <v>141</v>
      </c>
      <c r="G6" s="9" t="s">
        <v>142</v>
      </c>
      <c r="H6" s="6" t="s">
        <v>137</v>
      </c>
    </row>
    <row r="7" spans="1:8" ht="15" customHeight="1">
      <c r="A7" s="6" t="s">
        <v>143</v>
      </c>
      <c r="B7" s="6" t="s">
        <v>108</v>
      </c>
      <c r="C7" s="6" t="s">
        <v>133</v>
      </c>
      <c r="D7" s="6" t="s">
        <v>144</v>
      </c>
      <c r="E7" s="27">
        <v>0.98</v>
      </c>
      <c r="F7" s="9" t="s">
        <v>145</v>
      </c>
      <c r="G7" s="9" t="s">
        <v>146</v>
      </c>
      <c r="H7" s="6" t="s">
        <v>137</v>
      </c>
    </row>
    <row r="8" spans="1:8" ht="15" customHeight="1">
      <c r="A8" s="6" t="s">
        <v>147</v>
      </c>
      <c r="B8" s="6" t="s">
        <v>113</v>
      </c>
      <c r="C8" s="6" t="s">
        <v>133</v>
      </c>
      <c r="D8" s="6" t="s">
        <v>148</v>
      </c>
      <c r="E8" s="27">
        <v>0.96</v>
      </c>
      <c r="F8" s="9" t="s">
        <v>145</v>
      </c>
      <c r="G8" s="9" t="s">
        <v>149</v>
      </c>
      <c r="H8" s="6" t="s">
        <v>137</v>
      </c>
    </row>
    <row r="9" spans="1:8" ht="15" customHeight="1">
      <c r="A9" s="6" t="s">
        <v>150</v>
      </c>
      <c r="B9" s="6" t="s">
        <v>117</v>
      </c>
      <c r="C9" s="6" t="s">
        <v>151</v>
      </c>
      <c r="D9" s="6" t="s">
        <v>152</v>
      </c>
      <c r="E9" s="27">
        <v>0.74</v>
      </c>
      <c r="F9" s="9" t="s">
        <v>153</v>
      </c>
      <c r="G9" s="9" t="s">
        <v>154</v>
      </c>
      <c r="H9" s="6" t="s">
        <v>155</v>
      </c>
    </row>
    <row r="10" spans="1:8" ht="15" customHeight="1">
      <c r="A10" s="6" t="s">
        <v>156</v>
      </c>
      <c r="B10" s="6" t="s">
        <v>117</v>
      </c>
      <c r="C10" s="6" t="s">
        <v>133</v>
      </c>
      <c r="D10" s="6" t="s">
        <v>157</v>
      </c>
      <c r="E10" s="27">
        <v>0.95</v>
      </c>
      <c r="F10" s="9" t="s">
        <v>145</v>
      </c>
      <c r="G10" s="9" t="s">
        <v>146</v>
      </c>
      <c r="H10" s="6" t="s">
        <v>155</v>
      </c>
    </row>
    <row r="11" spans="1:8" ht="15" customHeight="1">
      <c r="A11" s="7" t="s">
        <v>158</v>
      </c>
      <c r="B11" s="7" t="s">
        <v>120</v>
      </c>
      <c r="C11" s="7" t="s">
        <v>133</v>
      </c>
      <c r="D11" s="7" t="s">
        <v>159</v>
      </c>
      <c r="E11" s="28">
        <v>0.99</v>
      </c>
      <c r="F11" s="10" t="s">
        <v>145</v>
      </c>
      <c r="G11" s="10" t="s">
        <v>146</v>
      </c>
      <c r="H11" s="7" t="s">
        <v>155</v>
      </c>
    </row>
  </sheetData>
  <mergeCells count="1">
    <mergeCell ref="A2:H2"/>
  </mergeCells>
  <phoneticPr fontId="7" type="noConversion"/>
  <conditionalFormatting sqref="E5:E11">
    <cfRule type="cellIs" dxfId="0" priority="1" operator="lessThan">
      <formula>0.8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N12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10.5" customWidth="1"/>
    <col min="2" max="2" width="11.6640625" customWidth="1"/>
    <col min="3" max="3" width="16.1640625" customWidth="1"/>
    <col min="4" max="4" width="7.83203125" customWidth="1"/>
    <col min="5" max="6" width="8.83203125" customWidth="1"/>
    <col min="7" max="7" width="11.6640625" customWidth="1"/>
    <col min="8" max="10" width="8.83203125" customWidth="1"/>
    <col min="11" max="12" width="11.6640625" customWidth="1"/>
    <col min="13" max="13" width="35.5" customWidth="1"/>
    <col min="14" max="14" width="12.1640625" customWidth="1"/>
  </cols>
  <sheetData>
    <row r="1" spans="1:14" ht="19">
      <c r="A1" s="1" t="s">
        <v>160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>
      <c r="A2" s="65" t="s">
        <v>161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</row>
    <row r="4" spans="1:14" ht="25.5" customHeight="1">
      <c r="A4" s="2" t="s">
        <v>162</v>
      </c>
      <c r="B4" s="3" t="s">
        <v>90</v>
      </c>
      <c r="C4" s="3" t="s">
        <v>163</v>
      </c>
      <c r="D4" s="3" t="s">
        <v>164</v>
      </c>
      <c r="E4" s="3" t="s">
        <v>165</v>
      </c>
      <c r="F4" s="3" t="s">
        <v>166</v>
      </c>
      <c r="G4" s="3" t="s">
        <v>167</v>
      </c>
      <c r="H4" s="3" t="s">
        <v>168</v>
      </c>
      <c r="I4" s="3" t="s">
        <v>169</v>
      </c>
      <c r="J4" s="3" t="s">
        <v>170</v>
      </c>
      <c r="K4" s="3" t="s">
        <v>171</v>
      </c>
      <c r="L4" s="3" t="s">
        <v>172</v>
      </c>
      <c r="M4" s="3" t="s">
        <v>46</v>
      </c>
      <c r="N4" s="4" t="s">
        <v>4</v>
      </c>
    </row>
    <row r="5" spans="1:14" ht="15" customHeight="1">
      <c r="A5" s="5" t="s">
        <v>173</v>
      </c>
      <c r="B5" s="5" t="s">
        <v>102</v>
      </c>
      <c r="C5" s="14">
        <v>45993</v>
      </c>
      <c r="D5" s="5" t="s">
        <v>174</v>
      </c>
      <c r="E5" s="17">
        <v>6000</v>
      </c>
      <c r="F5" s="23">
        <v>18.5</v>
      </c>
      <c r="G5" s="11">
        <v>111000</v>
      </c>
      <c r="H5" s="11">
        <v>27.75</v>
      </c>
      <c r="I5" s="11">
        <v>1.1100000000000001</v>
      </c>
      <c r="J5" s="11">
        <v>0</v>
      </c>
      <c r="K5" s="29">
        <v>45994</v>
      </c>
      <c r="L5" s="29">
        <v>45994</v>
      </c>
      <c r="M5" s="8" t="s">
        <v>175</v>
      </c>
      <c r="N5" s="5" t="s">
        <v>176</v>
      </c>
    </row>
    <row r="6" spans="1:14" ht="15" customHeight="1">
      <c r="A6" s="6" t="s">
        <v>177</v>
      </c>
      <c r="B6" s="6" t="s">
        <v>102</v>
      </c>
      <c r="C6" s="15">
        <v>46097</v>
      </c>
      <c r="D6" s="6" t="s">
        <v>174</v>
      </c>
      <c r="E6" s="18">
        <v>8000</v>
      </c>
      <c r="F6" s="24">
        <v>21.8</v>
      </c>
      <c r="G6" s="12">
        <v>174400</v>
      </c>
      <c r="H6" s="12">
        <v>43.6</v>
      </c>
      <c r="I6" s="12">
        <v>1.74</v>
      </c>
      <c r="J6" s="12">
        <v>0</v>
      </c>
      <c r="K6" s="30">
        <v>46098</v>
      </c>
      <c r="L6" s="30">
        <v>46098</v>
      </c>
      <c r="M6" s="9" t="s">
        <v>175</v>
      </c>
      <c r="N6" s="6" t="s">
        <v>178</v>
      </c>
    </row>
    <row r="7" spans="1:14" ht="15" customHeight="1">
      <c r="A7" s="6" t="s">
        <v>179</v>
      </c>
      <c r="B7" s="6" t="s">
        <v>102</v>
      </c>
      <c r="C7" s="15">
        <v>46262.427083333336</v>
      </c>
      <c r="D7" s="6" t="s">
        <v>174</v>
      </c>
      <c r="E7" s="18">
        <v>4000</v>
      </c>
      <c r="F7" s="24">
        <v>24</v>
      </c>
      <c r="G7" s="12">
        <v>96000</v>
      </c>
      <c r="H7" s="12">
        <v>24</v>
      </c>
      <c r="I7" s="12">
        <v>0.96</v>
      </c>
      <c r="J7" s="12">
        <v>0</v>
      </c>
      <c r="K7" s="30">
        <v>46265</v>
      </c>
      <c r="L7" s="30">
        <v>46265</v>
      </c>
      <c r="M7" s="9" t="s">
        <v>180</v>
      </c>
      <c r="N7" s="6" t="s">
        <v>181</v>
      </c>
    </row>
    <row r="8" spans="1:14" ht="15" customHeight="1">
      <c r="A8" s="6" t="s">
        <v>182</v>
      </c>
      <c r="B8" s="6" t="s">
        <v>108</v>
      </c>
      <c r="C8" s="15">
        <v>46147</v>
      </c>
      <c r="D8" s="6" t="s">
        <v>174</v>
      </c>
      <c r="E8" s="18">
        <v>12500</v>
      </c>
      <c r="F8" s="24">
        <v>8.1</v>
      </c>
      <c r="G8" s="12">
        <v>101250</v>
      </c>
      <c r="H8" s="12">
        <v>25.31</v>
      </c>
      <c r="I8" s="12">
        <v>1.01</v>
      </c>
      <c r="J8" s="12">
        <v>0</v>
      </c>
      <c r="K8" s="30">
        <v>46148</v>
      </c>
      <c r="L8" s="30">
        <v>46148</v>
      </c>
      <c r="M8" s="9" t="s">
        <v>175</v>
      </c>
      <c r="N8" s="6" t="s">
        <v>183</v>
      </c>
    </row>
    <row r="9" spans="1:14" ht="15" customHeight="1">
      <c r="A9" s="6" t="s">
        <v>184</v>
      </c>
      <c r="B9" s="6" t="s">
        <v>113</v>
      </c>
      <c r="C9" s="15">
        <v>46042</v>
      </c>
      <c r="D9" s="6" t="s">
        <v>174</v>
      </c>
      <c r="E9" s="18">
        <v>8000</v>
      </c>
      <c r="F9" s="24">
        <v>14.5</v>
      </c>
      <c r="G9" s="12">
        <v>116000</v>
      </c>
      <c r="H9" s="12">
        <v>29</v>
      </c>
      <c r="I9" s="12">
        <v>1.1599999999999999</v>
      </c>
      <c r="J9" s="12">
        <v>0</v>
      </c>
      <c r="K9" s="30">
        <v>46043</v>
      </c>
      <c r="L9" s="30">
        <v>46043</v>
      </c>
      <c r="M9" s="9" t="s">
        <v>175</v>
      </c>
      <c r="N9" s="6" t="s">
        <v>185</v>
      </c>
    </row>
    <row r="10" spans="1:14" ht="15" customHeight="1">
      <c r="A10" s="6" t="s">
        <v>186</v>
      </c>
      <c r="B10" s="6" t="s">
        <v>117</v>
      </c>
      <c r="C10" s="15">
        <v>46183</v>
      </c>
      <c r="D10" s="6" t="s">
        <v>174</v>
      </c>
      <c r="E10" s="18">
        <v>10000</v>
      </c>
      <c r="F10" s="24">
        <v>16.8</v>
      </c>
      <c r="G10" s="12">
        <v>168000</v>
      </c>
      <c r="H10" s="12">
        <v>42</v>
      </c>
      <c r="I10" s="12">
        <v>1.68</v>
      </c>
      <c r="J10" s="12">
        <v>0</v>
      </c>
      <c r="K10" s="30">
        <v>46184</v>
      </c>
      <c r="L10" s="30">
        <v>46184</v>
      </c>
      <c r="M10" s="9" t="s">
        <v>175</v>
      </c>
      <c r="N10" s="6" t="s">
        <v>187</v>
      </c>
    </row>
    <row r="11" spans="1:14" ht="15" customHeight="1">
      <c r="A11" s="6" t="s">
        <v>188</v>
      </c>
      <c r="B11" s="6" t="s">
        <v>120</v>
      </c>
      <c r="C11" s="15">
        <v>46063</v>
      </c>
      <c r="D11" s="6" t="s">
        <v>174</v>
      </c>
      <c r="E11" s="18">
        <v>50000</v>
      </c>
      <c r="F11" s="24">
        <v>3.92</v>
      </c>
      <c r="G11" s="12">
        <v>196000</v>
      </c>
      <c r="H11" s="12">
        <v>49</v>
      </c>
      <c r="I11" s="12">
        <v>0</v>
      </c>
      <c r="J11" s="12">
        <v>0</v>
      </c>
      <c r="K11" s="30">
        <v>46064</v>
      </c>
      <c r="L11" s="30">
        <v>46064</v>
      </c>
      <c r="M11" s="9" t="s">
        <v>175</v>
      </c>
      <c r="N11" s="6" t="s">
        <v>189</v>
      </c>
    </row>
    <row r="12" spans="1:14" ht="15" customHeight="1">
      <c r="A12" s="7" t="s">
        <v>190</v>
      </c>
      <c r="B12" s="7" t="s">
        <v>191</v>
      </c>
      <c r="C12" s="16">
        <v>46262.590277777781</v>
      </c>
      <c r="D12" s="7" t="s">
        <v>192</v>
      </c>
      <c r="E12" s="19">
        <v>1000</v>
      </c>
      <c r="F12" s="25">
        <v>18</v>
      </c>
      <c r="G12" s="13">
        <v>18000</v>
      </c>
      <c r="H12" s="13">
        <v>5</v>
      </c>
      <c r="I12" s="13">
        <v>0.18</v>
      </c>
      <c r="J12" s="13">
        <v>9</v>
      </c>
      <c r="K12" s="31">
        <v>46265</v>
      </c>
      <c r="L12" s="31"/>
      <c r="M12" s="10" t="s">
        <v>193</v>
      </c>
      <c r="N12" s="7" t="s">
        <v>194</v>
      </c>
    </row>
  </sheetData>
  <mergeCells count="1">
    <mergeCell ref="A2:N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</sheetPr>
  <dimension ref="A1:Q10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2" width="11.6640625" customWidth="1"/>
    <col min="3" max="3" width="12.83203125" customWidth="1"/>
    <col min="4" max="4" width="8.33203125" customWidth="1"/>
    <col min="5" max="5" width="16.1640625" customWidth="1"/>
    <col min="6" max="6" width="8.83203125" customWidth="1"/>
    <col min="7" max="7" width="11.6640625" customWidth="1"/>
    <col min="8" max="8" width="17.83203125" customWidth="1"/>
    <col min="9" max="10" width="8.83203125" customWidth="1"/>
    <col min="11" max="11" width="10" customWidth="1"/>
    <col min="12" max="12" width="10.5" customWidth="1"/>
    <col min="13" max="13" width="12.1640625" customWidth="1"/>
    <col min="14" max="14" width="9.5" customWidth="1"/>
    <col min="15" max="15" width="36.6640625" customWidth="1"/>
    <col min="16" max="16" width="16.1640625" customWidth="1"/>
    <col min="17" max="17" width="12.83203125" customWidth="1"/>
  </cols>
  <sheetData>
    <row r="1" spans="1:17" ht="19">
      <c r="A1" s="1" t="s">
        <v>195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>
      <c r="A2" s="65" t="s">
        <v>196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</row>
    <row r="3" spans="1:17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</row>
    <row r="4" spans="1:17" ht="25.5" customHeight="1">
      <c r="A4" s="2" t="s">
        <v>40</v>
      </c>
      <c r="B4" s="3" t="s">
        <v>90</v>
      </c>
      <c r="C4" s="3" t="s">
        <v>197</v>
      </c>
      <c r="D4" s="3" t="s">
        <v>198</v>
      </c>
      <c r="E4" s="3" t="s">
        <v>199</v>
      </c>
      <c r="F4" s="3" t="s">
        <v>200</v>
      </c>
      <c r="G4" s="3" t="s">
        <v>201</v>
      </c>
      <c r="H4" s="3" t="s">
        <v>202</v>
      </c>
      <c r="I4" s="3" t="s">
        <v>203</v>
      </c>
      <c r="J4" s="3" t="s">
        <v>204</v>
      </c>
      <c r="K4" s="3" t="s">
        <v>205</v>
      </c>
      <c r="L4" s="3" t="s">
        <v>206</v>
      </c>
      <c r="M4" s="3" t="s">
        <v>207</v>
      </c>
      <c r="N4" s="3" t="s">
        <v>208</v>
      </c>
      <c r="O4" s="3" t="s">
        <v>209</v>
      </c>
      <c r="P4" s="3" t="s">
        <v>43</v>
      </c>
      <c r="Q4" s="4" t="s">
        <v>4</v>
      </c>
    </row>
    <row r="5" spans="1:17" ht="15" customHeight="1">
      <c r="A5" s="5" t="s">
        <v>210</v>
      </c>
      <c r="B5" s="5" t="s">
        <v>102</v>
      </c>
      <c r="C5" s="5" t="s">
        <v>211</v>
      </c>
      <c r="D5" s="20">
        <v>22.4</v>
      </c>
      <c r="E5" s="14">
        <v>46262.625</v>
      </c>
      <c r="F5" s="20">
        <v>22.1</v>
      </c>
      <c r="G5" s="20">
        <v>22.1</v>
      </c>
      <c r="H5" s="8" t="s">
        <v>212</v>
      </c>
      <c r="I5" s="20">
        <v>19.89</v>
      </c>
      <c r="J5" s="20">
        <v>24.31</v>
      </c>
      <c r="K5" s="20">
        <v>22.39</v>
      </c>
      <c r="L5" s="17">
        <v>50000</v>
      </c>
      <c r="M5" s="17">
        <v>2400000</v>
      </c>
      <c r="N5" s="32">
        <v>4.5</v>
      </c>
      <c r="O5" s="8" t="s">
        <v>213</v>
      </c>
      <c r="P5" s="14">
        <v>46262.627083333333</v>
      </c>
      <c r="Q5" s="5" t="s">
        <v>214</v>
      </c>
    </row>
    <row r="6" spans="1:17" ht="15" customHeight="1">
      <c r="A6" s="40" t="s">
        <v>215</v>
      </c>
      <c r="B6" s="40" t="s">
        <v>102</v>
      </c>
      <c r="C6" s="40" t="s">
        <v>216</v>
      </c>
      <c r="D6" s="45">
        <v>21.8</v>
      </c>
      <c r="E6" s="46">
        <v>46265.399305555555</v>
      </c>
      <c r="F6" s="45">
        <v>22.4</v>
      </c>
      <c r="G6" s="45">
        <v>22.4</v>
      </c>
      <c r="H6" s="47" t="s">
        <v>212</v>
      </c>
      <c r="I6" s="45">
        <v>20.16</v>
      </c>
      <c r="J6" s="45">
        <v>24.64</v>
      </c>
      <c r="K6" s="45">
        <v>21.79</v>
      </c>
      <c r="L6" s="48">
        <v>42000</v>
      </c>
      <c r="M6" s="48">
        <v>2350000</v>
      </c>
      <c r="N6" s="49">
        <v>5</v>
      </c>
      <c r="O6" s="47" t="s">
        <v>217</v>
      </c>
      <c r="P6" s="46">
        <v>46265.4</v>
      </c>
      <c r="Q6" s="40" t="s">
        <v>218</v>
      </c>
    </row>
    <row r="7" spans="1:17" ht="15" customHeight="1">
      <c r="A7" s="6" t="s">
        <v>219</v>
      </c>
      <c r="B7" s="6" t="s">
        <v>108</v>
      </c>
      <c r="C7" s="6" t="s">
        <v>211</v>
      </c>
      <c r="D7" s="21">
        <v>7.86</v>
      </c>
      <c r="E7" s="15">
        <v>46262.625</v>
      </c>
      <c r="F7" s="21">
        <v>8.16</v>
      </c>
      <c r="G7" s="21">
        <v>7.86</v>
      </c>
      <c r="H7" s="9" t="s">
        <v>220</v>
      </c>
      <c r="I7" s="21">
        <v>7.07</v>
      </c>
      <c r="J7" s="21">
        <v>8.65</v>
      </c>
      <c r="K7" s="21">
        <v>7.85</v>
      </c>
      <c r="L7" s="18">
        <v>185000</v>
      </c>
      <c r="M7" s="18">
        <v>3000000</v>
      </c>
      <c r="N7" s="33">
        <v>6</v>
      </c>
      <c r="O7" s="9" t="s">
        <v>221</v>
      </c>
      <c r="P7" s="15">
        <v>46262.627083333333</v>
      </c>
      <c r="Q7" s="6" t="s">
        <v>222</v>
      </c>
    </row>
    <row r="8" spans="1:17" ht="15" customHeight="1">
      <c r="A8" s="39" t="s">
        <v>223</v>
      </c>
      <c r="B8" s="39" t="s">
        <v>113</v>
      </c>
      <c r="C8" s="39" t="s">
        <v>224</v>
      </c>
      <c r="D8" s="50">
        <v>15.2</v>
      </c>
      <c r="E8" s="51">
        <v>46258.625</v>
      </c>
      <c r="F8" s="50">
        <v>15.05</v>
      </c>
      <c r="G8" s="50">
        <v>15.05</v>
      </c>
      <c r="H8" s="52" t="s">
        <v>225</v>
      </c>
      <c r="I8" s="50"/>
      <c r="J8" s="50"/>
      <c r="K8" s="50"/>
      <c r="L8" s="53">
        <v>0</v>
      </c>
      <c r="M8" s="53">
        <v>850000</v>
      </c>
      <c r="N8" s="54"/>
      <c r="O8" s="52" t="s">
        <v>226</v>
      </c>
      <c r="P8" s="51">
        <v>46258.627083333333</v>
      </c>
      <c r="Q8" s="39" t="s">
        <v>227</v>
      </c>
    </row>
    <row r="9" spans="1:17" ht="15" customHeight="1">
      <c r="A9" s="39" t="s">
        <v>228</v>
      </c>
      <c r="B9" s="39" t="s">
        <v>117</v>
      </c>
      <c r="C9" s="39" t="s">
        <v>211</v>
      </c>
      <c r="D9" s="50">
        <v>13.5</v>
      </c>
      <c r="E9" s="51">
        <v>46262.625</v>
      </c>
      <c r="F9" s="50">
        <v>15</v>
      </c>
      <c r="G9" s="50">
        <v>15</v>
      </c>
      <c r="H9" s="52" t="s">
        <v>229</v>
      </c>
      <c r="I9" s="50">
        <v>13.5</v>
      </c>
      <c r="J9" s="50">
        <v>16.5</v>
      </c>
      <c r="K9" s="50"/>
      <c r="L9" s="53">
        <v>0</v>
      </c>
      <c r="M9" s="53">
        <v>180000</v>
      </c>
      <c r="N9" s="54"/>
      <c r="O9" s="52" t="s">
        <v>230</v>
      </c>
      <c r="P9" s="51">
        <v>46262.627083333333</v>
      </c>
      <c r="Q9" s="39" t="s">
        <v>231</v>
      </c>
    </row>
    <row r="10" spans="1:17" ht="15" customHeight="1">
      <c r="A10" s="7" t="s">
        <v>232</v>
      </c>
      <c r="B10" s="7" t="s">
        <v>120</v>
      </c>
      <c r="C10" s="7" t="s">
        <v>211</v>
      </c>
      <c r="D10" s="22">
        <v>4.12</v>
      </c>
      <c r="E10" s="16">
        <v>46262.625</v>
      </c>
      <c r="F10" s="22">
        <v>4.0999999999999996</v>
      </c>
      <c r="G10" s="22">
        <v>4.0999999999999996</v>
      </c>
      <c r="H10" s="10" t="s">
        <v>212</v>
      </c>
      <c r="I10" s="22">
        <v>3.69</v>
      </c>
      <c r="J10" s="22">
        <v>4.51</v>
      </c>
      <c r="K10" s="22">
        <v>4.1189999999999998</v>
      </c>
      <c r="L10" s="19">
        <v>600000</v>
      </c>
      <c r="M10" s="19">
        <v>15000000</v>
      </c>
      <c r="N10" s="34">
        <v>2</v>
      </c>
      <c r="O10" s="10" t="s">
        <v>233</v>
      </c>
      <c r="P10" s="16">
        <v>46262.627083333333</v>
      </c>
      <c r="Q10" s="7" t="s">
        <v>234</v>
      </c>
    </row>
  </sheetData>
  <mergeCells count="1">
    <mergeCell ref="A2:Q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5A5A5"/>
  </sheetPr>
  <dimension ref="A1:K6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10.5" customWidth="1"/>
    <col min="2" max="3" width="11.6640625" customWidth="1"/>
    <col min="4" max="4" width="16.1640625" customWidth="1"/>
    <col min="5" max="5" width="11.6640625" customWidth="1"/>
    <col min="6" max="6" width="12.83203125" customWidth="1"/>
    <col min="7" max="7" width="11.6640625" customWidth="1"/>
    <col min="8" max="8" width="10.5" customWidth="1"/>
    <col min="9" max="9" width="28.83203125" customWidth="1"/>
    <col min="10" max="10" width="40" customWidth="1"/>
    <col min="11" max="11" width="12.83203125" customWidth="1"/>
  </cols>
  <sheetData>
    <row r="1" spans="1:11" ht="19">
      <c r="A1" s="1" t="s">
        <v>235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65" t="s">
        <v>236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1" ht="25.5" customHeight="1">
      <c r="A4" s="2" t="s">
        <v>237</v>
      </c>
      <c r="B4" s="3" t="s">
        <v>90</v>
      </c>
      <c r="C4" s="3" t="s">
        <v>238</v>
      </c>
      <c r="D4" s="3" t="s">
        <v>239</v>
      </c>
      <c r="E4" s="3" t="s">
        <v>240</v>
      </c>
      <c r="F4" s="3" t="s">
        <v>241</v>
      </c>
      <c r="G4" s="3" t="s">
        <v>242</v>
      </c>
      <c r="H4" s="3" t="s">
        <v>243</v>
      </c>
      <c r="I4" s="3" t="s">
        <v>244</v>
      </c>
      <c r="J4" s="3" t="s">
        <v>131</v>
      </c>
      <c r="K4" s="4" t="s">
        <v>4</v>
      </c>
    </row>
    <row r="5" spans="1:11" ht="24" customHeight="1">
      <c r="A5" s="5" t="s">
        <v>75</v>
      </c>
      <c r="B5" s="5" t="s">
        <v>108</v>
      </c>
      <c r="C5" s="5" t="s">
        <v>245</v>
      </c>
      <c r="D5" s="14">
        <v>46254.75</v>
      </c>
      <c r="E5" s="29">
        <v>46261</v>
      </c>
      <c r="F5" s="29">
        <v>46262</v>
      </c>
      <c r="G5" s="29">
        <v>46268</v>
      </c>
      <c r="H5" s="23">
        <v>0.3</v>
      </c>
      <c r="I5" s="8" t="s">
        <v>246</v>
      </c>
      <c r="J5" s="8" t="s">
        <v>247</v>
      </c>
      <c r="K5" s="5" t="s">
        <v>248</v>
      </c>
    </row>
    <row r="6" spans="1:11" ht="15" customHeight="1">
      <c r="A6" s="7" t="s">
        <v>249</v>
      </c>
      <c r="B6" s="7" t="s">
        <v>113</v>
      </c>
      <c r="C6" s="7" t="s">
        <v>250</v>
      </c>
      <c r="D6" s="16">
        <v>46258.8125</v>
      </c>
      <c r="E6" s="31"/>
      <c r="F6" s="31">
        <v>46259</v>
      </c>
      <c r="G6" s="31"/>
      <c r="H6" s="25"/>
      <c r="I6" s="10" t="s">
        <v>251</v>
      </c>
      <c r="J6" s="10" t="s">
        <v>252</v>
      </c>
      <c r="K6" s="7" t="s">
        <v>253</v>
      </c>
    </row>
  </sheetData>
  <mergeCells count="1">
    <mergeCell ref="A2:K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</sheetPr>
  <dimension ref="A1:I9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3" width="11.6640625" customWidth="1"/>
    <col min="4" max="4" width="8.83203125" customWidth="1"/>
    <col min="5" max="5" width="11.6640625" customWidth="1"/>
    <col min="6" max="6" width="10" customWidth="1"/>
    <col min="7" max="7" width="11.6640625" customWidth="1"/>
    <col min="8" max="8" width="41.1640625" customWidth="1"/>
    <col min="9" max="9" width="11.6640625" customWidth="1"/>
  </cols>
  <sheetData>
    <row r="1" spans="1:9" ht="19">
      <c r="A1" s="1" t="s">
        <v>254</v>
      </c>
      <c r="B1" s="43"/>
      <c r="C1" s="43"/>
      <c r="D1" s="43"/>
      <c r="E1" s="43"/>
      <c r="F1" s="43"/>
      <c r="G1" s="43"/>
      <c r="H1" s="43"/>
      <c r="I1" s="43"/>
    </row>
    <row r="2" spans="1:9">
      <c r="A2" s="65" t="s">
        <v>255</v>
      </c>
      <c r="B2" s="65"/>
      <c r="C2" s="65"/>
      <c r="D2" s="65"/>
      <c r="E2" s="65"/>
      <c r="F2" s="65"/>
      <c r="G2" s="65"/>
      <c r="H2" s="65"/>
      <c r="I2" s="65"/>
    </row>
    <row r="3" spans="1:9">
      <c r="A3" s="44"/>
      <c r="B3" s="44"/>
      <c r="C3" s="44"/>
      <c r="D3" s="44"/>
      <c r="E3" s="44"/>
      <c r="F3" s="44"/>
      <c r="G3" s="44"/>
      <c r="H3" s="44"/>
      <c r="I3" s="44"/>
    </row>
    <row r="4" spans="1:9" ht="25.5" customHeight="1">
      <c r="A4" s="2" t="s">
        <v>90</v>
      </c>
      <c r="B4" s="3" t="s">
        <v>91</v>
      </c>
      <c r="C4" s="3" t="s">
        <v>256</v>
      </c>
      <c r="D4" s="3" t="s">
        <v>257</v>
      </c>
      <c r="E4" s="3" t="s">
        <v>258</v>
      </c>
      <c r="F4" s="3" t="s">
        <v>94</v>
      </c>
      <c r="G4" s="3" t="s">
        <v>259</v>
      </c>
      <c r="H4" s="3" t="s">
        <v>260</v>
      </c>
      <c r="I4" s="4" t="s">
        <v>4</v>
      </c>
    </row>
    <row r="5" spans="1:9" ht="15" customHeight="1">
      <c r="A5" s="5" t="s">
        <v>102</v>
      </c>
      <c r="B5" s="5" t="s">
        <v>103</v>
      </c>
      <c r="C5" s="35">
        <v>0.48</v>
      </c>
      <c r="D5" s="23">
        <v>1.35</v>
      </c>
      <c r="E5" s="5" t="s">
        <v>261</v>
      </c>
      <c r="F5" s="5" t="s">
        <v>106</v>
      </c>
      <c r="G5" s="5" t="s">
        <v>262</v>
      </c>
      <c r="H5" s="8" t="s">
        <v>263</v>
      </c>
      <c r="I5" s="5" t="s">
        <v>264</v>
      </c>
    </row>
    <row r="6" spans="1:9" ht="15" customHeight="1">
      <c r="A6" s="6" t="s">
        <v>108</v>
      </c>
      <c r="B6" s="6" t="s">
        <v>109</v>
      </c>
      <c r="C6" s="36">
        <v>0.18</v>
      </c>
      <c r="D6" s="24">
        <v>0.55000000000000004</v>
      </c>
      <c r="E6" s="6" t="s">
        <v>265</v>
      </c>
      <c r="F6" s="6" t="s">
        <v>111</v>
      </c>
      <c r="G6" s="6" t="s">
        <v>262</v>
      </c>
      <c r="H6" s="9" t="s">
        <v>266</v>
      </c>
      <c r="I6" s="6" t="s">
        <v>267</v>
      </c>
    </row>
    <row r="7" spans="1:9" ht="15" customHeight="1">
      <c r="A7" s="6" t="s">
        <v>113</v>
      </c>
      <c r="B7" s="6" t="s">
        <v>114</v>
      </c>
      <c r="C7" s="36">
        <v>0.35</v>
      </c>
      <c r="D7" s="24">
        <v>0.8</v>
      </c>
      <c r="E7" s="6" t="s">
        <v>265</v>
      </c>
      <c r="F7" s="6" t="s">
        <v>115</v>
      </c>
      <c r="G7" s="6" t="s">
        <v>268</v>
      </c>
      <c r="H7" s="9" t="s">
        <v>269</v>
      </c>
      <c r="I7" s="6" t="s">
        <v>270</v>
      </c>
    </row>
    <row r="8" spans="1:9" ht="15" customHeight="1">
      <c r="A8" s="6" t="s">
        <v>117</v>
      </c>
      <c r="B8" s="6" t="s">
        <v>118</v>
      </c>
      <c r="C8" s="36">
        <v>0.62</v>
      </c>
      <c r="D8" s="24">
        <v>1.5</v>
      </c>
      <c r="E8" s="6" t="s">
        <v>261</v>
      </c>
      <c r="F8" s="6" t="s">
        <v>106</v>
      </c>
      <c r="G8" s="6" t="s">
        <v>268</v>
      </c>
      <c r="H8" s="9" t="s">
        <v>271</v>
      </c>
      <c r="I8" s="6" t="s">
        <v>272</v>
      </c>
    </row>
    <row r="9" spans="1:9" ht="15" customHeight="1">
      <c r="A9" s="7" t="s">
        <v>120</v>
      </c>
      <c r="B9" s="7" t="s">
        <v>121</v>
      </c>
      <c r="C9" s="37">
        <v>0.22</v>
      </c>
      <c r="D9" s="25">
        <v>1</v>
      </c>
      <c r="E9" s="7" t="s">
        <v>265</v>
      </c>
      <c r="F9" s="7" t="s">
        <v>123</v>
      </c>
      <c r="G9" s="7" t="s">
        <v>262</v>
      </c>
      <c r="H9" s="10" t="s">
        <v>273</v>
      </c>
      <c r="I9" s="7" t="s">
        <v>274</v>
      </c>
    </row>
  </sheetData>
  <mergeCells count="1">
    <mergeCell ref="A2:I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7D31"/>
  </sheetPr>
  <dimension ref="A1:G9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12.1640625" customWidth="1"/>
    <col min="2" max="6" width="11.1640625" customWidth="1"/>
    <col min="7" max="7" width="11.6640625" customWidth="1"/>
  </cols>
  <sheetData>
    <row r="1" spans="1:7" ht="19">
      <c r="A1" s="1" t="s">
        <v>275</v>
      </c>
      <c r="B1" s="43"/>
      <c r="C1" s="43"/>
      <c r="D1" s="43"/>
      <c r="E1" s="43"/>
      <c r="F1" s="43"/>
      <c r="G1" s="43"/>
    </row>
    <row r="2" spans="1:7">
      <c r="A2" s="65" t="s">
        <v>276</v>
      </c>
      <c r="B2" s="65"/>
      <c r="C2" s="65"/>
      <c r="D2" s="65"/>
      <c r="E2" s="65"/>
      <c r="F2" s="65"/>
      <c r="G2" s="65"/>
    </row>
    <row r="3" spans="1:7">
      <c r="A3" s="44"/>
      <c r="B3" s="44"/>
      <c r="C3" s="44"/>
      <c r="D3" s="44"/>
      <c r="E3" s="44"/>
      <c r="F3" s="44"/>
      <c r="G3" s="44"/>
    </row>
    <row r="4" spans="1:7" ht="25.5" customHeight="1">
      <c r="A4" s="2" t="s">
        <v>90</v>
      </c>
      <c r="B4" s="3" t="s">
        <v>102</v>
      </c>
      <c r="C4" s="3" t="s">
        <v>108</v>
      </c>
      <c r="D4" s="3" t="s">
        <v>113</v>
      </c>
      <c r="E4" s="3" t="s">
        <v>117</v>
      </c>
      <c r="F4" s="3" t="s">
        <v>120</v>
      </c>
      <c r="G4" s="4" t="s">
        <v>4</v>
      </c>
    </row>
    <row r="5" spans="1:7" ht="15" customHeight="1">
      <c r="A5" s="5" t="s">
        <v>102</v>
      </c>
      <c r="B5" s="23">
        <v>1</v>
      </c>
      <c r="C5" s="23">
        <v>0.18</v>
      </c>
      <c r="D5" s="23">
        <v>0.32</v>
      </c>
      <c r="E5" s="23">
        <v>0.78</v>
      </c>
      <c r="F5" s="23">
        <v>0.72</v>
      </c>
      <c r="G5" s="5" t="s">
        <v>277</v>
      </c>
    </row>
    <row r="6" spans="1:7" ht="15" customHeight="1">
      <c r="A6" s="6" t="s">
        <v>108</v>
      </c>
      <c r="B6" s="24">
        <v>0.18</v>
      </c>
      <c r="C6" s="24">
        <v>1</v>
      </c>
      <c r="D6" s="24">
        <v>0.2</v>
      </c>
      <c r="E6" s="24">
        <v>0.12</v>
      </c>
      <c r="F6" s="24">
        <v>0.45</v>
      </c>
      <c r="G6" s="6" t="s">
        <v>278</v>
      </c>
    </row>
    <row r="7" spans="1:7" ht="15" customHeight="1">
      <c r="A7" s="6" t="s">
        <v>113</v>
      </c>
      <c r="B7" s="24">
        <v>0.32</v>
      </c>
      <c r="C7" s="24">
        <v>0.2</v>
      </c>
      <c r="D7" s="24">
        <v>1</v>
      </c>
      <c r="E7" s="24">
        <v>0.28000000000000003</v>
      </c>
      <c r="F7" s="24">
        <v>0.3</v>
      </c>
      <c r="G7" s="6" t="s">
        <v>279</v>
      </c>
    </row>
    <row r="8" spans="1:7" ht="15" customHeight="1">
      <c r="A8" s="6" t="s">
        <v>117</v>
      </c>
      <c r="B8" s="24">
        <v>0.78</v>
      </c>
      <c r="C8" s="24">
        <v>0.12</v>
      </c>
      <c r="D8" s="24">
        <v>0.28000000000000003</v>
      </c>
      <c r="E8" s="24">
        <v>1</v>
      </c>
      <c r="F8" s="24">
        <v>0.65</v>
      </c>
      <c r="G8" s="6" t="s">
        <v>280</v>
      </c>
    </row>
    <row r="9" spans="1:7" ht="15" customHeight="1">
      <c r="A9" s="7" t="s">
        <v>120</v>
      </c>
      <c r="B9" s="25">
        <v>0.72</v>
      </c>
      <c r="C9" s="25">
        <v>0.45</v>
      </c>
      <c r="D9" s="25">
        <v>0.3</v>
      </c>
      <c r="E9" s="25">
        <v>0.65</v>
      </c>
      <c r="F9" s="25">
        <v>1</v>
      </c>
      <c r="G9" s="7" t="s">
        <v>281</v>
      </c>
    </row>
  </sheetData>
  <mergeCells count="1">
    <mergeCell ref="A2:G2"/>
  </mergeCells>
  <phoneticPr fontId="7" type="noConversion"/>
  <conditionalFormatting sqref="B5:F9">
    <cfRule type="colorScale" priority="1">
      <colorScale>
        <cfvo type="min"/>
        <cfvo type="percentile" val="50"/>
        <cfvo type="max"/>
        <color rgb="FFFFFFFF"/>
        <color rgb="FFFFD966"/>
        <color rgb="FFC00000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</sheetPr>
  <dimension ref="A1:G19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11.1640625" customWidth="1"/>
    <col min="2" max="2" width="20" customWidth="1"/>
    <col min="3" max="3" width="11.6640625" customWidth="1"/>
    <col min="4" max="4" width="10" customWidth="1"/>
    <col min="5" max="5" width="41.1640625" customWidth="1"/>
    <col min="6" max="6" width="33.33203125" customWidth="1"/>
    <col min="7" max="7" width="12.83203125" customWidth="1"/>
  </cols>
  <sheetData>
    <row r="1" spans="1:7" ht="19">
      <c r="A1" s="1" t="s">
        <v>282</v>
      </c>
      <c r="B1" s="43"/>
      <c r="C1" s="43"/>
      <c r="D1" s="43"/>
      <c r="E1" s="43"/>
      <c r="F1" s="43"/>
      <c r="G1" s="43"/>
    </row>
    <row r="2" spans="1:7">
      <c r="A2" s="65" t="s">
        <v>283</v>
      </c>
      <c r="B2" s="65"/>
      <c r="C2" s="65"/>
      <c r="D2" s="65"/>
      <c r="E2" s="65"/>
      <c r="F2" s="65"/>
      <c r="G2" s="65"/>
    </row>
    <row r="3" spans="1:7">
      <c r="A3" s="44"/>
      <c r="B3" s="44"/>
      <c r="C3" s="44"/>
      <c r="D3" s="44"/>
      <c r="E3" s="44"/>
      <c r="F3" s="44"/>
      <c r="G3" s="44"/>
    </row>
    <row r="4" spans="1:7" ht="25.5" customHeight="1">
      <c r="A4" s="2" t="s">
        <v>284</v>
      </c>
      <c r="B4" s="3" t="s">
        <v>285</v>
      </c>
      <c r="C4" s="3" t="s">
        <v>90</v>
      </c>
      <c r="D4" s="3" t="s">
        <v>286</v>
      </c>
      <c r="E4" s="3" t="s">
        <v>287</v>
      </c>
      <c r="F4" s="3" t="s">
        <v>288</v>
      </c>
      <c r="G4" s="4" t="s">
        <v>4</v>
      </c>
    </row>
    <row r="5" spans="1:7" ht="15" customHeight="1">
      <c r="A5" s="5" t="s">
        <v>289</v>
      </c>
      <c r="B5" s="5" t="s">
        <v>290</v>
      </c>
      <c r="C5" s="5" t="s">
        <v>102</v>
      </c>
      <c r="D5" s="35">
        <v>-0.18</v>
      </c>
      <c r="E5" s="8" t="s">
        <v>291</v>
      </c>
      <c r="F5" s="8" t="s">
        <v>292</v>
      </c>
      <c r="G5" s="5" t="s">
        <v>293</v>
      </c>
    </row>
    <row r="6" spans="1:7" ht="15" customHeight="1">
      <c r="A6" s="6" t="s">
        <v>289</v>
      </c>
      <c r="B6" s="6" t="s">
        <v>290</v>
      </c>
      <c r="C6" s="6" t="s">
        <v>108</v>
      </c>
      <c r="D6" s="36">
        <v>-0.03</v>
      </c>
      <c r="E6" s="9" t="s">
        <v>291</v>
      </c>
      <c r="F6" s="9" t="s">
        <v>292</v>
      </c>
      <c r="G6" s="6" t="s">
        <v>294</v>
      </c>
    </row>
    <row r="7" spans="1:7" ht="24" customHeight="1">
      <c r="A7" s="6" t="s">
        <v>289</v>
      </c>
      <c r="B7" s="6" t="s">
        <v>290</v>
      </c>
      <c r="C7" s="6" t="s">
        <v>113</v>
      </c>
      <c r="D7" s="36">
        <v>-0.08</v>
      </c>
      <c r="E7" s="9" t="s">
        <v>295</v>
      </c>
      <c r="F7" s="9" t="s">
        <v>292</v>
      </c>
      <c r="G7" s="6" t="s">
        <v>296</v>
      </c>
    </row>
    <row r="8" spans="1:7" ht="15" customHeight="1">
      <c r="A8" s="6" t="s">
        <v>289</v>
      </c>
      <c r="B8" s="6" t="s">
        <v>290</v>
      </c>
      <c r="C8" s="6" t="s">
        <v>117</v>
      </c>
      <c r="D8" s="36">
        <v>-0.25</v>
      </c>
      <c r="E8" s="9" t="s">
        <v>297</v>
      </c>
      <c r="F8" s="9" t="s">
        <v>292</v>
      </c>
      <c r="G8" s="6" t="s">
        <v>298</v>
      </c>
    </row>
    <row r="9" spans="1:7" ht="15" customHeight="1">
      <c r="A9" s="6" t="s">
        <v>289</v>
      </c>
      <c r="B9" s="6" t="s">
        <v>290</v>
      </c>
      <c r="C9" s="6" t="s">
        <v>120</v>
      </c>
      <c r="D9" s="36">
        <v>-0.09</v>
      </c>
      <c r="E9" s="9" t="s">
        <v>291</v>
      </c>
      <c r="F9" s="9" t="s">
        <v>292</v>
      </c>
      <c r="G9" s="6" t="s">
        <v>299</v>
      </c>
    </row>
    <row r="10" spans="1:7" ht="15" customHeight="1">
      <c r="A10" s="6" t="s">
        <v>300</v>
      </c>
      <c r="B10" s="6" t="s">
        <v>301</v>
      </c>
      <c r="C10" s="6" t="s">
        <v>102</v>
      </c>
      <c r="D10" s="36">
        <v>-0.1</v>
      </c>
      <c r="E10" s="9" t="s">
        <v>291</v>
      </c>
      <c r="F10" s="9" t="s">
        <v>302</v>
      </c>
      <c r="G10" s="6" t="s">
        <v>303</v>
      </c>
    </row>
    <row r="11" spans="1:7" ht="15" customHeight="1">
      <c r="A11" s="6" t="s">
        <v>300</v>
      </c>
      <c r="B11" s="6" t="s">
        <v>301</v>
      </c>
      <c r="C11" s="6" t="s">
        <v>108</v>
      </c>
      <c r="D11" s="36">
        <v>-0.05</v>
      </c>
      <c r="E11" s="9" t="s">
        <v>291</v>
      </c>
      <c r="F11" s="9" t="s">
        <v>302</v>
      </c>
      <c r="G11" s="6" t="s">
        <v>304</v>
      </c>
    </row>
    <row r="12" spans="1:7" ht="24" customHeight="1">
      <c r="A12" s="6" t="s">
        <v>300</v>
      </c>
      <c r="B12" s="6" t="s">
        <v>301</v>
      </c>
      <c r="C12" s="6" t="s">
        <v>113</v>
      </c>
      <c r="D12" s="36">
        <v>-0.2</v>
      </c>
      <c r="E12" s="9" t="s">
        <v>295</v>
      </c>
      <c r="F12" s="9" t="s">
        <v>302</v>
      </c>
      <c r="G12" s="6" t="s">
        <v>305</v>
      </c>
    </row>
    <row r="13" spans="1:7" ht="15" customHeight="1">
      <c r="A13" s="6" t="s">
        <v>300</v>
      </c>
      <c r="B13" s="6" t="s">
        <v>301</v>
      </c>
      <c r="C13" s="6" t="s">
        <v>117</v>
      </c>
      <c r="D13" s="36">
        <v>-0.3</v>
      </c>
      <c r="E13" s="9" t="s">
        <v>297</v>
      </c>
      <c r="F13" s="9" t="s">
        <v>302</v>
      </c>
      <c r="G13" s="6" t="s">
        <v>306</v>
      </c>
    </row>
    <row r="14" spans="1:7" ht="15" customHeight="1">
      <c r="A14" s="6" t="s">
        <v>300</v>
      </c>
      <c r="B14" s="6" t="s">
        <v>301</v>
      </c>
      <c r="C14" s="6" t="s">
        <v>120</v>
      </c>
      <c r="D14" s="36">
        <v>-7.0000000000000007E-2</v>
      </c>
      <c r="E14" s="9" t="s">
        <v>291</v>
      </c>
      <c r="F14" s="9" t="s">
        <v>302</v>
      </c>
      <c r="G14" s="6" t="s">
        <v>307</v>
      </c>
    </row>
    <row r="15" spans="1:7" ht="15" customHeight="1">
      <c r="A15" s="6" t="s">
        <v>308</v>
      </c>
      <c r="B15" s="6" t="s">
        <v>309</v>
      </c>
      <c r="C15" s="6" t="s">
        <v>102</v>
      </c>
      <c r="D15" s="36">
        <v>0.12</v>
      </c>
      <c r="E15" s="9" t="s">
        <v>291</v>
      </c>
      <c r="F15" s="9" t="s">
        <v>310</v>
      </c>
      <c r="G15" s="6" t="s">
        <v>311</v>
      </c>
    </row>
    <row r="16" spans="1:7" ht="15" customHeight="1">
      <c r="A16" s="6" t="s">
        <v>308</v>
      </c>
      <c r="B16" s="6" t="s">
        <v>309</v>
      </c>
      <c r="C16" s="6" t="s">
        <v>108</v>
      </c>
      <c r="D16" s="36">
        <v>0.02</v>
      </c>
      <c r="E16" s="9" t="s">
        <v>291</v>
      </c>
      <c r="F16" s="9" t="s">
        <v>310</v>
      </c>
      <c r="G16" s="6" t="s">
        <v>312</v>
      </c>
    </row>
    <row r="17" spans="1:7" ht="24" customHeight="1">
      <c r="A17" s="6" t="s">
        <v>308</v>
      </c>
      <c r="B17" s="6" t="s">
        <v>309</v>
      </c>
      <c r="C17" s="6" t="s">
        <v>113</v>
      </c>
      <c r="D17" s="36">
        <v>0.05</v>
      </c>
      <c r="E17" s="9" t="s">
        <v>295</v>
      </c>
      <c r="F17" s="9" t="s">
        <v>310</v>
      </c>
      <c r="G17" s="6" t="s">
        <v>313</v>
      </c>
    </row>
    <row r="18" spans="1:7" ht="15" customHeight="1">
      <c r="A18" s="6" t="s">
        <v>308</v>
      </c>
      <c r="B18" s="6" t="s">
        <v>309</v>
      </c>
      <c r="C18" s="6" t="s">
        <v>117</v>
      </c>
      <c r="D18" s="36">
        <v>0.18</v>
      </c>
      <c r="E18" s="9" t="s">
        <v>297</v>
      </c>
      <c r="F18" s="9" t="s">
        <v>310</v>
      </c>
      <c r="G18" s="6" t="s">
        <v>314</v>
      </c>
    </row>
    <row r="19" spans="1:7" ht="15" customHeight="1">
      <c r="A19" s="7" t="s">
        <v>308</v>
      </c>
      <c r="B19" s="7" t="s">
        <v>309</v>
      </c>
      <c r="C19" s="7" t="s">
        <v>120</v>
      </c>
      <c r="D19" s="37">
        <v>0.06</v>
      </c>
      <c r="E19" s="10" t="s">
        <v>291</v>
      </c>
      <c r="F19" s="10" t="s">
        <v>310</v>
      </c>
      <c r="G19" s="7" t="s">
        <v>315</v>
      </c>
    </row>
  </sheetData>
  <mergeCells count="1">
    <mergeCell ref="A2:G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H18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11.6640625" customWidth="1"/>
    <col min="2" max="2" width="8.33203125" customWidth="1"/>
    <col min="3" max="3" width="27.1640625" customWidth="1"/>
    <col min="4" max="4" width="7.83203125" customWidth="1"/>
    <col min="5" max="5" width="11.6640625" customWidth="1"/>
    <col min="6" max="6" width="12.1640625" customWidth="1"/>
    <col min="7" max="7" width="38.83203125" customWidth="1"/>
    <col min="8" max="8" width="11.6640625" customWidth="1"/>
  </cols>
  <sheetData>
    <row r="1" spans="1:8" ht="19">
      <c r="A1" s="1" t="s">
        <v>316</v>
      </c>
      <c r="B1" s="43"/>
      <c r="C1" s="43"/>
      <c r="D1" s="43"/>
      <c r="E1" s="43"/>
      <c r="F1" s="43"/>
      <c r="G1" s="43"/>
      <c r="H1" s="43"/>
    </row>
    <row r="2" spans="1:8">
      <c r="A2" s="65" t="s">
        <v>317</v>
      </c>
      <c r="B2" s="65"/>
      <c r="C2" s="65"/>
      <c r="D2" s="65"/>
      <c r="E2" s="65"/>
      <c r="F2" s="65"/>
      <c r="G2" s="65"/>
      <c r="H2" s="65"/>
    </row>
    <row r="3" spans="1:8">
      <c r="A3" s="44"/>
      <c r="B3" s="44"/>
      <c r="C3" s="44"/>
      <c r="D3" s="44"/>
      <c r="E3" s="44"/>
      <c r="F3" s="44"/>
      <c r="G3" s="44"/>
      <c r="H3" s="44"/>
    </row>
    <row r="4" spans="1:8" ht="25.5" customHeight="1">
      <c r="A4" s="2" t="s">
        <v>318</v>
      </c>
      <c r="B4" s="3" t="s">
        <v>319</v>
      </c>
      <c r="C4" s="3" t="s">
        <v>320</v>
      </c>
      <c r="D4" s="3" t="s">
        <v>321</v>
      </c>
      <c r="E4" s="3" t="s">
        <v>322</v>
      </c>
      <c r="F4" s="3" t="s">
        <v>323</v>
      </c>
      <c r="G4" s="3" t="s">
        <v>324</v>
      </c>
      <c r="H4" s="4" t="s">
        <v>4</v>
      </c>
    </row>
    <row r="5" spans="1:8" ht="15" customHeight="1">
      <c r="A5" s="5" t="s">
        <v>325</v>
      </c>
      <c r="B5" s="38" t="s">
        <v>326</v>
      </c>
      <c r="C5" s="8" t="s">
        <v>327</v>
      </c>
      <c r="D5" s="5" t="s">
        <v>328</v>
      </c>
      <c r="E5" s="11">
        <v>260000</v>
      </c>
      <c r="F5" s="5" t="s">
        <v>18</v>
      </c>
      <c r="G5" s="8" t="s">
        <v>329</v>
      </c>
      <c r="H5" s="5" t="s">
        <v>81</v>
      </c>
    </row>
    <row r="6" spans="1:8" ht="15" customHeight="1">
      <c r="A6" s="6" t="s">
        <v>330</v>
      </c>
      <c r="B6" s="39" t="s">
        <v>326</v>
      </c>
      <c r="C6" s="9" t="s">
        <v>331</v>
      </c>
      <c r="D6" s="6" t="s">
        <v>332</v>
      </c>
      <c r="E6" s="36">
        <v>0.75</v>
      </c>
      <c r="F6" s="6" t="s">
        <v>333</v>
      </c>
      <c r="G6" s="9" t="s">
        <v>334</v>
      </c>
      <c r="H6" s="6" t="s">
        <v>335</v>
      </c>
    </row>
    <row r="7" spans="1:8" ht="15" customHeight="1">
      <c r="A7" s="6" t="s">
        <v>336</v>
      </c>
      <c r="B7" s="39" t="s">
        <v>326</v>
      </c>
      <c r="C7" s="9" t="s">
        <v>337</v>
      </c>
      <c r="D7" s="6" t="s">
        <v>332</v>
      </c>
      <c r="E7" s="36">
        <v>0.27</v>
      </c>
      <c r="F7" s="6" t="s">
        <v>333</v>
      </c>
      <c r="G7" s="9" t="s">
        <v>338</v>
      </c>
      <c r="H7" s="6" t="s">
        <v>339</v>
      </c>
    </row>
    <row r="8" spans="1:8" ht="15" customHeight="1">
      <c r="A8" s="6" t="s">
        <v>340</v>
      </c>
      <c r="B8" s="39" t="s">
        <v>326</v>
      </c>
      <c r="C8" s="9" t="s">
        <v>341</v>
      </c>
      <c r="D8" s="6" t="s">
        <v>332</v>
      </c>
      <c r="E8" s="36">
        <v>0.3</v>
      </c>
      <c r="F8" s="6" t="s">
        <v>333</v>
      </c>
      <c r="G8" s="9" t="s">
        <v>342</v>
      </c>
      <c r="H8" s="6" t="s">
        <v>343</v>
      </c>
    </row>
    <row r="9" spans="1:8" ht="15" customHeight="1">
      <c r="A9" s="6" t="s">
        <v>344</v>
      </c>
      <c r="B9" s="39" t="s">
        <v>326</v>
      </c>
      <c r="C9" s="9" t="s">
        <v>345</v>
      </c>
      <c r="D9" s="6" t="s">
        <v>332</v>
      </c>
      <c r="E9" s="36">
        <v>0.32</v>
      </c>
      <c r="F9" s="6" t="s">
        <v>333</v>
      </c>
      <c r="G9" s="9" t="s">
        <v>342</v>
      </c>
      <c r="H9" s="6" t="s">
        <v>346</v>
      </c>
    </row>
    <row r="10" spans="1:8" ht="15" customHeight="1">
      <c r="A10" s="6" t="s">
        <v>347</v>
      </c>
      <c r="B10" s="39" t="s">
        <v>326</v>
      </c>
      <c r="C10" s="9" t="s">
        <v>348</v>
      </c>
      <c r="D10" s="6" t="s">
        <v>332</v>
      </c>
      <c r="E10" s="36">
        <v>0.09</v>
      </c>
      <c r="F10" s="6" t="s">
        <v>333</v>
      </c>
      <c r="G10" s="9" t="s">
        <v>349</v>
      </c>
      <c r="H10" s="6" t="s">
        <v>350</v>
      </c>
    </row>
    <row r="11" spans="1:8" ht="15" customHeight="1">
      <c r="A11" s="6" t="s">
        <v>351</v>
      </c>
      <c r="B11" s="39" t="s">
        <v>326</v>
      </c>
      <c r="C11" s="9" t="s">
        <v>352</v>
      </c>
      <c r="D11" s="6" t="s">
        <v>332</v>
      </c>
      <c r="E11" s="36">
        <v>0.55000000000000004</v>
      </c>
      <c r="F11" s="6" t="s">
        <v>353</v>
      </c>
      <c r="G11" s="9" t="s">
        <v>354</v>
      </c>
      <c r="H11" s="6" t="s">
        <v>355</v>
      </c>
    </row>
    <row r="12" spans="1:8" ht="15" customHeight="1">
      <c r="A12" s="6" t="s">
        <v>356</v>
      </c>
      <c r="B12" s="39" t="s">
        <v>326</v>
      </c>
      <c r="C12" s="9" t="s">
        <v>357</v>
      </c>
      <c r="D12" s="6" t="s">
        <v>332</v>
      </c>
      <c r="E12" s="36">
        <v>0.05</v>
      </c>
      <c r="F12" s="6" t="s">
        <v>358</v>
      </c>
      <c r="G12" s="9" t="s">
        <v>359</v>
      </c>
      <c r="H12" s="6" t="s">
        <v>360</v>
      </c>
    </row>
    <row r="13" spans="1:8" ht="15" customHeight="1">
      <c r="A13" s="6" t="s">
        <v>361</v>
      </c>
      <c r="B13" s="39" t="s">
        <v>326</v>
      </c>
      <c r="C13" s="9" t="s">
        <v>362</v>
      </c>
      <c r="D13" s="6" t="s">
        <v>328</v>
      </c>
      <c r="E13" s="12">
        <v>30000</v>
      </c>
      <c r="F13" s="6" t="s">
        <v>18</v>
      </c>
      <c r="G13" s="9" t="s">
        <v>363</v>
      </c>
      <c r="H13" s="6" t="s">
        <v>364</v>
      </c>
    </row>
    <row r="14" spans="1:8" ht="15" customHeight="1">
      <c r="A14" s="6" t="s">
        <v>365</v>
      </c>
      <c r="B14" s="39" t="s">
        <v>326</v>
      </c>
      <c r="C14" s="9" t="s">
        <v>366</v>
      </c>
      <c r="D14" s="6" t="s">
        <v>367</v>
      </c>
      <c r="E14" s="18">
        <v>0</v>
      </c>
      <c r="F14" s="6" t="s">
        <v>368</v>
      </c>
      <c r="G14" s="9" t="s">
        <v>369</v>
      </c>
      <c r="H14" s="6" t="s">
        <v>370</v>
      </c>
    </row>
    <row r="15" spans="1:8" ht="15" customHeight="1">
      <c r="A15" s="6" t="s">
        <v>371</v>
      </c>
      <c r="B15" s="40" t="s">
        <v>372</v>
      </c>
      <c r="C15" s="9" t="s">
        <v>373</v>
      </c>
      <c r="D15" s="6" t="s">
        <v>328</v>
      </c>
      <c r="E15" s="18">
        <v>12000</v>
      </c>
      <c r="F15" s="6" t="s">
        <v>368</v>
      </c>
      <c r="G15" s="9" t="s">
        <v>374</v>
      </c>
      <c r="H15" s="6" t="s">
        <v>375</v>
      </c>
    </row>
    <row r="16" spans="1:8" ht="15" customHeight="1">
      <c r="A16" s="6" t="s">
        <v>376</v>
      </c>
      <c r="B16" s="40" t="s">
        <v>372</v>
      </c>
      <c r="C16" s="9" t="s">
        <v>377</v>
      </c>
      <c r="D16" s="6" t="s">
        <v>378</v>
      </c>
      <c r="E16" s="18"/>
      <c r="F16" s="6" t="s">
        <v>18</v>
      </c>
      <c r="G16" s="9" t="s">
        <v>379</v>
      </c>
      <c r="H16" s="6" t="s">
        <v>380</v>
      </c>
    </row>
    <row r="17" spans="1:8" ht="15" customHeight="1">
      <c r="A17" s="6" t="s">
        <v>381</v>
      </c>
      <c r="B17" s="40" t="s">
        <v>372</v>
      </c>
      <c r="C17" s="9" t="s">
        <v>382</v>
      </c>
      <c r="D17" s="6" t="s">
        <v>332</v>
      </c>
      <c r="E17" s="18">
        <v>3</v>
      </c>
      <c r="F17" s="6" t="s">
        <v>383</v>
      </c>
      <c r="G17" s="9" t="s">
        <v>384</v>
      </c>
      <c r="H17" s="6" t="s">
        <v>385</v>
      </c>
    </row>
    <row r="18" spans="1:8" ht="15" customHeight="1">
      <c r="A18" s="7" t="s">
        <v>386</v>
      </c>
      <c r="B18" s="41" t="s">
        <v>372</v>
      </c>
      <c r="C18" s="10" t="s">
        <v>387</v>
      </c>
      <c r="D18" s="7" t="s">
        <v>388</v>
      </c>
      <c r="E18" s="19"/>
      <c r="F18" s="7" t="s">
        <v>368</v>
      </c>
      <c r="G18" s="10" t="s">
        <v>389</v>
      </c>
      <c r="H18" s="7" t="s">
        <v>390</v>
      </c>
    </row>
  </sheetData>
  <mergeCells count="1">
    <mergeCell ref="A2:H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5A5A5"/>
  </sheetPr>
  <dimension ref="A1:H19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10.5" customWidth="1"/>
    <col min="2" max="2" width="13.83203125" customWidth="1"/>
    <col min="3" max="3" width="12.83203125" customWidth="1"/>
    <col min="4" max="4" width="43.33203125" customWidth="1"/>
    <col min="5" max="5" width="11.1640625" customWidth="1"/>
    <col min="6" max="6" width="12.1640625" customWidth="1"/>
    <col min="7" max="7" width="35.5" customWidth="1"/>
    <col min="8" max="8" width="11.6640625" customWidth="1"/>
  </cols>
  <sheetData>
    <row r="1" spans="1:8" ht="19">
      <c r="A1" s="1" t="s">
        <v>391</v>
      </c>
      <c r="B1" s="43"/>
      <c r="C1" s="43"/>
      <c r="D1" s="43"/>
      <c r="E1" s="43"/>
      <c r="F1" s="43"/>
      <c r="G1" s="43"/>
      <c r="H1" s="43"/>
    </row>
    <row r="2" spans="1:8">
      <c r="A2" s="65" t="s">
        <v>392</v>
      </c>
      <c r="B2" s="65"/>
      <c r="C2" s="65"/>
      <c r="D2" s="65"/>
      <c r="E2" s="65"/>
      <c r="F2" s="65"/>
      <c r="G2" s="65"/>
      <c r="H2" s="65"/>
    </row>
    <row r="3" spans="1:8">
      <c r="A3" s="44"/>
      <c r="B3" s="44"/>
      <c r="C3" s="44"/>
      <c r="D3" s="44"/>
      <c r="E3" s="44"/>
      <c r="F3" s="44"/>
      <c r="G3" s="44"/>
      <c r="H3" s="44"/>
    </row>
    <row r="4" spans="1:8" ht="25.5" customHeight="1">
      <c r="A4" s="2" t="s">
        <v>393</v>
      </c>
      <c r="B4" s="3" t="s">
        <v>2</v>
      </c>
      <c r="C4" s="3" t="s">
        <v>394</v>
      </c>
      <c r="D4" s="3" t="s">
        <v>395</v>
      </c>
      <c r="E4" s="3" t="s">
        <v>396</v>
      </c>
      <c r="F4" s="3" t="s">
        <v>397</v>
      </c>
      <c r="G4" s="3" t="s">
        <v>46</v>
      </c>
      <c r="H4" s="4" t="s">
        <v>4</v>
      </c>
    </row>
    <row r="5" spans="1:8" ht="15" customHeight="1">
      <c r="A5" s="5" t="s">
        <v>370</v>
      </c>
      <c r="B5" s="5" t="s">
        <v>398</v>
      </c>
      <c r="C5" s="5" t="s">
        <v>399</v>
      </c>
      <c r="D5" s="8" t="s">
        <v>400</v>
      </c>
      <c r="E5" s="5"/>
      <c r="F5" s="5"/>
      <c r="G5" s="8" t="s">
        <v>401</v>
      </c>
      <c r="H5" s="5" t="s">
        <v>402</v>
      </c>
    </row>
    <row r="6" spans="1:8" ht="15" customHeight="1">
      <c r="A6" s="6" t="s">
        <v>403</v>
      </c>
      <c r="B6" s="6" t="s">
        <v>404</v>
      </c>
      <c r="C6" s="6" t="s">
        <v>399</v>
      </c>
      <c r="D6" s="9" t="s">
        <v>405</v>
      </c>
      <c r="E6" s="6"/>
      <c r="F6" s="6"/>
      <c r="G6" s="9" t="s">
        <v>406</v>
      </c>
      <c r="H6" s="6" t="s">
        <v>407</v>
      </c>
    </row>
    <row r="7" spans="1:8" ht="15" customHeight="1">
      <c r="A7" s="6" t="s">
        <v>408</v>
      </c>
      <c r="B7" s="6" t="s">
        <v>409</v>
      </c>
      <c r="C7" s="6" t="s">
        <v>410</v>
      </c>
      <c r="D7" s="9" t="s">
        <v>411</v>
      </c>
      <c r="E7" s="18">
        <v>100</v>
      </c>
      <c r="F7" s="6" t="s">
        <v>368</v>
      </c>
      <c r="G7" s="9" t="s">
        <v>412</v>
      </c>
      <c r="H7" s="6" t="s">
        <v>413</v>
      </c>
    </row>
    <row r="8" spans="1:8" ht="15" customHeight="1">
      <c r="A8" s="6" t="s">
        <v>414</v>
      </c>
      <c r="B8" s="6" t="s">
        <v>168</v>
      </c>
      <c r="C8" s="6" t="s">
        <v>415</v>
      </c>
      <c r="D8" s="9" t="s">
        <v>416</v>
      </c>
      <c r="E8" s="42">
        <v>2.5000000000000001E-4</v>
      </c>
      <c r="F8" s="6" t="s">
        <v>167</v>
      </c>
      <c r="G8" s="9" t="s">
        <v>417</v>
      </c>
      <c r="H8" s="6" t="s">
        <v>414</v>
      </c>
    </row>
    <row r="9" spans="1:8" ht="15" customHeight="1">
      <c r="A9" s="6" t="s">
        <v>418</v>
      </c>
      <c r="B9" s="6" t="s">
        <v>419</v>
      </c>
      <c r="C9" s="6" t="s">
        <v>415</v>
      </c>
      <c r="D9" s="9" t="s">
        <v>420</v>
      </c>
      <c r="E9" s="42">
        <v>5.0000000000000001E-4</v>
      </c>
      <c r="F9" s="6" t="s">
        <v>167</v>
      </c>
      <c r="G9" s="9" t="s">
        <v>421</v>
      </c>
      <c r="H9" s="6" t="s">
        <v>418</v>
      </c>
    </row>
    <row r="10" spans="1:8" ht="15" customHeight="1">
      <c r="A10" s="6" t="s">
        <v>422</v>
      </c>
      <c r="B10" s="6" t="s">
        <v>169</v>
      </c>
      <c r="C10" s="6" t="s">
        <v>415</v>
      </c>
      <c r="D10" s="9" t="s">
        <v>423</v>
      </c>
      <c r="E10" s="42">
        <v>1.0000000000000001E-5</v>
      </c>
      <c r="F10" s="6" t="s">
        <v>167</v>
      </c>
      <c r="G10" s="9" t="s">
        <v>424</v>
      </c>
      <c r="H10" s="6" t="s">
        <v>422</v>
      </c>
    </row>
    <row r="11" spans="1:8" ht="15" customHeight="1">
      <c r="A11" s="6" t="s">
        <v>425</v>
      </c>
      <c r="B11" s="6" t="s">
        <v>168</v>
      </c>
      <c r="C11" s="6" t="s">
        <v>122</v>
      </c>
      <c r="D11" s="9" t="s">
        <v>416</v>
      </c>
      <c r="E11" s="42">
        <v>2.0000000000000001E-4</v>
      </c>
      <c r="F11" s="6" t="s">
        <v>167</v>
      </c>
      <c r="G11" s="9" t="s">
        <v>426</v>
      </c>
      <c r="H11" s="6" t="s">
        <v>425</v>
      </c>
    </row>
    <row r="12" spans="1:8" ht="15" customHeight="1">
      <c r="A12" s="6" t="s">
        <v>427</v>
      </c>
      <c r="B12" s="6" t="s">
        <v>419</v>
      </c>
      <c r="C12" s="6" t="s">
        <v>122</v>
      </c>
      <c r="D12" s="9" t="s">
        <v>428</v>
      </c>
      <c r="E12" s="42">
        <v>0</v>
      </c>
      <c r="F12" s="6" t="s">
        <v>167</v>
      </c>
      <c r="G12" s="9" t="s">
        <v>421</v>
      </c>
      <c r="H12" s="6" t="s">
        <v>427</v>
      </c>
    </row>
    <row r="13" spans="1:8" ht="15" customHeight="1">
      <c r="A13" s="6" t="s">
        <v>429</v>
      </c>
      <c r="B13" s="6" t="s">
        <v>430</v>
      </c>
      <c r="C13" s="6" t="s">
        <v>102</v>
      </c>
      <c r="D13" s="9" t="s">
        <v>431</v>
      </c>
      <c r="E13" s="42">
        <v>5.0000000000000001E-4</v>
      </c>
      <c r="F13" s="6" t="s">
        <v>167</v>
      </c>
      <c r="G13" s="9" t="s">
        <v>432</v>
      </c>
      <c r="H13" s="6" t="s">
        <v>433</v>
      </c>
    </row>
    <row r="14" spans="1:8" ht="15" customHeight="1">
      <c r="A14" s="6" t="s">
        <v>434</v>
      </c>
      <c r="B14" s="6" t="s">
        <v>430</v>
      </c>
      <c r="C14" s="6" t="s">
        <v>108</v>
      </c>
      <c r="D14" s="9" t="s">
        <v>431</v>
      </c>
      <c r="E14" s="42">
        <v>5.9999999999999995E-4</v>
      </c>
      <c r="F14" s="6" t="s">
        <v>167</v>
      </c>
      <c r="G14" s="9" t="s">
        <v>432</v>
      </c>
      <c r="H14" s="6" t="s">
        <v>435</v>
      </c>
    </row>
    <row r="15" spans="1:8" ht="15" customHeight="1">
      <c r="A15" s="6" t="s">
        <v>436</v>
      </c>
      <c r="B15" s="6" t="s">
        <v>430</v>
      </c>
      <c r="C15" s="6" t="s">
        <v>113</v>
      </c>
      <c r="D15" s="9" t="s">
        <v>437</v>
      </c>
      <c r="E15" s="42"/>
      <c r="F15" s="6" t="s">
        <v>167</v>
      </c>
      <c r="G15" s="9" t="s">
        <v>438</v>
      </c>
      <c r="H15" s="6" t="s">
        <v>439</v>
      </c>
    </row>
    <row r="16" spans="1:8" ht="15" customHeight="1">
      <c r="A16" s="6" t="s">
        <v>440</v>
      </c>
      <c r="B16" s="6" t="s">
        <v>430</v>
      </c>
      <c r="C16" s="6" t="s">
        <v>117</v>
      </c>
      <c r="D16" s="9" t="s">
        <v>441</v>
      </c>
      <c r="E16" s="42">
        <v>3.0000000000000001E-3</v>
      </c>
      <c r="F16" s="6" t="s">
        <v>167</v>
      </c>
      <c r="G16" s="9" t="s">
        <v>442</v>
      </c>
      <c r="H16" s="6" t="s">
        <v>443</v>
      </c>
    </row>
    <row r="17" spans="1:8" ht="15" customHeight="1">
      <c r="A17" s="6" t="s">
        <v>444</v>
      </c>
      <c r="B17" s="6" t="s">
        <v>430</v>
      </c>
      <c r="C17" s="6" t="s">
        <v>120</v>
      </c>
      <c r="D17" s="9" t="s">
        <v>431</v>
      </c>
      <c r="E17" s="42">
        <v>2.0000000000000001E-4</v>
      </c>
      <c r="F17" s="6" t="s">
        <v>167</v>
      </c>
      <c r="G17" s="9" t="s">
        <v>432</v>
      </c>
      <c r="H17" s="6" t="s">
        <v>445</v>
      </c>
    </row>
    <row r="18" spans="1:8" ht="15" customHeight="1">
      <c r="A18" s="6" t="s">
        <v>446</v>
      </c>
      <c r="B18" s="6" t="s">
        <v>447</v>
      </c>
      <c r="C18" s="6" t="s">
        <v>410</v>
      </c>
      <c r="D18" s="9" t="s">
        <v>448</v>
      </c>
      <c r="E18" s="42">
        <v>0.05</v>
      </c>
      <c r="F18" s="6" t="s">
        <v>358</v>
      </c>
      <c r="G18" s="9" t="s">
        <v>449</v>
      </c>
      <c r="H18" s="6" t="s">
        <v>450</v>
      </c>
    </row>
    <row r="19" spans="1:8" ht="24" customHeight="1">
      <c r="A19" s="7" t="s">
        <v>451</v>
      </c>
      <c r="B19" s="7" t="s">
        <v>452</v>
      </c>
      <c r="C19" s="7" t="s">
        <v>399</v>
      </c>
      <c r="D19" s="10" t="s">
        <v>453</v>
      </c>
      <c r="E19" s="7"/>
      <c r="F19" s="7"/>
      <c r="G19" s="10" t="s">
        <v>454</v>
      </c>
      <c r="H19" s="7" t="s">
        <v>455</v>
      </c>
    </row>
  </sheetData>
  <mergeCells count="1">
    <mergeCell ref="A2:H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H12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10.5" customWidth="1"/>
    <col min="2" max="2" width="16.1640625" customWidth="1"/>
    <col min="3" max="3" width="20" customWidth="1"/>
    <col min="4" max="4" width="46.6640625" customWidth="1"/>
    <col min="5" max="5" width="13.33203125" customWidth="1"/>
    <col min="6" max="6" width="16.6640625" customWidth="1"/>
    <col min="7" max="7" width="28.83203125" customWidth="1"/>
    <col min="8" max="8" width="12.1640625" customWidth="1"/>
  </cols>
  <sheetData>
    <row r="1" spans="1:8" ht="19">
      <c r="A1" s="1" t="s">
        <v>456</v>
      </c>
      <c r="B1" s="43"/>
      <c r="C1" s="43"/>
      <c r="D1" s="43"/>
      <c r="E1" s="43"/>
      <c r="F1" s="43"/>
      <c r="G1" s="43"/>
      <c r="H1" s="43"/>
    </row>
    <row r="2" spans="1:8">
      <c r="A2" s="65" t="s">
        <v>457</v>
      </c>
      <c r="B2" s="65"/>
      <c r="C2" s="65"/>
      <c r="D2" s="65"/>
      <c r="E2" s="65"/>
      <c r="F2" s="65"/>
      <c r="G2" s="65"/>
      <c r="H2" s="65"/>
    </row>
    <row r="3" spans="1:8">
      <c r="A3" s="44"/>
      <c r="B3" s="44"/>
      <c r="C3" s="44"/>
      <c r="D3" s="44"/>
      <c r="E3" s="44"/>
      <c r="F3" s="44"/>
      <c r="G3" s="44"/>
      <c r="H3" s="44"/>
    </row>
    <row r="4" spans="1:8" ht="25.5" customHeight="1">
      <c r="A4" s="2" t="s">
        <v>237</v>
      </c>
      <c r="B4" s="3" t="s">
        <v>458</v>
      </c>
      <c r="C4" s="3" t="s">
        <v>238</v>
      </c>
      <c r="D4" s="3" t="s">
        <v>459</v>
      </c>
      <c r="E4" s="3" t="s">
        <v>460</v>
      </c>
      <c r="F4" s="3" t="s">
        <v>461</v>
      </c>
      <c r="G4" s="3" t="s">
        <v>131</v>
      </c>
      <c r="H4" s="4" t="s">
        <v>4</v>
      </c>
    </row>
    <row r="5" spans="1:8" ht="15" customHeight="1">
      <c r="A5" s="5" t="s">
        <v>462</v>
      </c>
      <c r="B5" s="14">
        <v>46262.638888888891</v>
      </c>
      <c r="C5" s="5" t="s">
        <v>463</v>
      </c>
      <c r="D5" s="8" t="s">
        <v>464</v>
      </c>
      <c r="E5" s="11">
        <v>0</v>
      </c>
      <c r="F5" s="8" t="s">
        <v>465</v>
      </c>
      <c r="G5" s="8" t="s">
        <v>8</v>
      </c>
      <c r="H5" s="5" t="s">
        <v>466</v>
      </c>
    </row>
    <row r="6" spans="1:8" ht="24" customHeight="1">
      <c r="A6" s="6" t="s">
        <v>467</v>
      </c>
      <c r="B6" s="15">
        <v>46265.375</v>
      </c>
      <c r="C6" s="6" t="s">
        <v>468</v>
      </c>
      <c r="D6" s="9" t="s">
        <v>469</v>
      </c>
      <c r="E6" s="12">
        <v>18000</v>
      </c>
      <c r="F6" s="9" t="s">
        <v>470</v>
      </c>
      <c r="G6" s="9" t="s">
        <v>471</v>
      </c>
      <c r="H6" s="6" t="s">
        <v>472</v>
      </c>
    </row>
    <row r="7" spans="1:8" ht="15" customHeight="1">
      <c r="A7" s="6" t="s">
        <v>473</v>
      </c>
      <c r="B7" s="15">
        <v>46265.395833333336</v>
      </c>
      <c r="C7" s="6" t="s">
        <v>474</v>
      </c>
      <c r="D7" s="9" t="s">
        <v>475</v>
      </c>
      <c r="E7" s="12">
        <v>0</v>
      </c>
      <c r="F7" s="9" t="s">
        <v>465</v>
      </c>
      <c r="G7" s="9" t="s">
        <v>476</v>
      </c>
      <c r="H7" s="6" t="s">
        <v>477</v>
      </c>
    </row>
    <row r="8" spans="1:8" ht="15" customHeight="1">
      <c r="A8" s="6" t="s">
        <v>478</v>
      </c>
      <c r="B8" s="15">
        <v>46266.375</v>
      </c>
      <c r="C8" s="6" t="s">
        <v>479</v>
      </c>
      <c r="D8" s="9" t="s">
        <v>480</v>
      </c>
      <c r="E8" s="12"/>
      <c r="F8" s="9" t="s">
        <v>481</v>
      </c>
      <c r="G8" s="9" t="s">
        <v>482</v>
      </c>
      <c r="H8" s="6" t="s">
        <v>483</v>
      </c>
    </row>
    <row r="9" spans="1:8" ht="15" customHeight="1">
      <c r="A9" s="6" t="s">
        <v>484</v>
      </c>
      <c r="B9" s="15">
        <v>46266.625</v>
      </c>
      <c r="C9" s="6" t="s">
        <v>485</v>
      </c>
      <c r="D9" s="9" t="s">
        <v>486</v>
      </c>
      <c r="E9" s="12">
        <v>0</v>
      </c>
      <c r="F9" s="9" t="s">
        <v>465</v>
      </c>
      <c r="G9" s="9" t="s">
        <v>487</v>
      </c>
      <c r="H9" s="6" t="s">
        <v>488</v>
      </c>
    </row>
    <row r="10" spans="1:8" ht="15" customHeight="1">
      <c r="A10" s="61" t="s">
        <v>489</v>
      </c>
      <c r="B10" s="62">
        <v>46267.375</v>
      </c>
      <c r="C10" s="61" t="s">
        <v>490</v>
      </c>
      <c r="D10" s="63" t="s">
        <v>491</v>
      </c>
      <c r="E10" s="64"/>
      <c r="F10" s="63" t="s">
        <v>481</v>
      </c>
      <c r="G10" s="63" t="s">
        <v>492</v>
      </c>
      <c r="H10" s="61" t="s">
        <v>493</v>
      </c>
    </row>
    <row r="11" spans="1:8" ht="15" customHeight="1">
      <c r="A11" s="6" t="s">
        <v>494</v>
      </c>
      <c r="B11" s="15">
        <v>46267.416666666664</v>
      </c>
      <c r="C11" s="6" t="s">
        <v>495</v>
      </c>
      <c r="D11" s="9" t="s">
        <v>496</v>
      </c>
      <c r="E11" s="12">
        <v>-260000</v>
      </c>
      <c r="F11" s="9" t="s">
        <v>497</v>
      </c>
      <c r="G11" s="9" t="s">
        <v>498</v>
      </c>
      <c r="H11" s="6" t="s">
        <v>499</v>
      </c>
    </row>
    <row r="12" spans="1:8" ht="15" customHeight="1">
      <c r="A12" s="7" t="s">
        <v>500</v>
      </c>
      <c r="B12" s="16">
        <v>46268.375</v>
      </c>
      <c r="C12" s="7" t="s">
        <v>501</v>
      </c>
      <c r="D12" s="10" t="s">
        <v>502</v>
      </c>
      <c r="E12" s="13">
        <v>3750</v>
      </c>
      <c r="F12" s="10" t="s">
        <v>470</v>
      </c>
      <c r="G12" s="10" t="s">
        <v>503</v>
      </c>
      <c r="H12" s="7" t="s">
        <v>504</v>
      </c>
    </row>
  </sheetData>
  <mergeCells count="1">
    <mergeCell ref="A2:H2"/>
  </mergeCells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任务说明</vt:lpstr>
      <vt:lpstr>账户与资金</vt:lpstr>
      <vt:lpstr>官方持仓</vt:lpstr>
      <vt:lpstr>OCR核验</vt:lpstr>
      <vt:lpstr>交易批次</vt:lpstr>
      <vt:lpstr>行情交易状态</vt:lpstr>
      <vt:lpstr>公司行动</vt:lpstr>
      <vt:lpstr>风险参数</vt:lpstr>
      <vt:lpstr>相关性矩阵</vt:lpstr>
      <vt:lpstr>压力情景</vt:lpstr>
      <vt:lpstr>约束与偏好</vt:lpstr>
      <vt:lpstr>费用与规则</vt:lpstr>
      <vt:lpstr>资金日历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佳璇 任</cp:lastModifiedBy>
  <dcterms:modified xsi:type="dcterms:W3CDTF">2026-09-10T15:33:20Z</dcterms:modified>
</cp:coreProperties>
</file>