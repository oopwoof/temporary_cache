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bookViews>
    <workbookView xWindow="80" yWindow="580" windowWidth="25440" windowHeight="14560"/>
  </bookViews>
  <sheets>
    <sheet name="任务说明" sheetId="1" r:id="rId1"/>
    <sheet name="决策参数" sheetId="2" r:id="rId2"/>
    <sheet name="账户汇总" sheetId="3" r:id="rId3"/>
    <sheet name="资产背景" sheetId="4" r:id="rId4"/>
    <sheet name="官方持仓" sheetId="5" r:id="rId5"/>
    <sheet name="OCR持仓" sheetId="6" r:id="rId6"/>
    <sheet name="交易流水" sheetId="7" r:id="rId7"/>
    <sheet name="公司行动" sheetId="8" r:id="rId8"/>
    <sheet name="行情快照" sheetId="9" r:id="rId9"/>
    <sheet name="技术状态" sheetId="10" r:id="rId10"/>
    <sheet name="交易规则" sheetId="11" r:id="rId11"/>
    <sheet name="费用滑点" sheetId="12" r:id="rId12"/>
    <sheet name="流动性" sheetId="13" r:id="rId13"/>
    <sheet name="风险参数" sheetId="14" r:id="rId14"/>
    <sheet name="相关性矩阵" sheetId="15" r:id="rId15"/>
    <sheet name="压力情景" sheetId="16" r:id="rId16"/>
    <sheet name="事件日历" sheetId="17" r:id="rId17"/>
    <sheet name="数据质量" sheetId="18" r:id="rId18"/>
    <sheet name="证据索引" sheetId="19" r:id="rId19"/>
    <sheet name="数据字典" sheetId="20" r:id="rId20"/>
  </sheets>
  <calcPr calcId="0"/>
</workbook>
</file>

<file path=xl/sharedStrings.xml><?xml version="1.0" encoding="utf-8"?>
<sst xmlns="http://schemas.openxmlformats.org/spreadsheetml/2006/main" count="982" uniqueCount="680">
  <si>
    <t>项目</t>
  </si>
  <si>
    <t>内容</t>
  </si>
  <si>
    <t>决策时点</t>
  </si>
  <si>
    <t>2026-09-18 15:30:00 Asia/Shanghai（周五收盘后）</t>
  </si>
  <si>
    <t>研究对象</t>
  </si>
  <si>
    <t>证券M（SYN100.SZ），合成A股普通股</t>
  </si>
  <si>
    <t>用户原话</t>
  </si>
  <si>
    <t>这只股票盈利很多，我想把本金拿回来、至少保留12,000股；如果能做T降低成本就尽量少卖。</t>
  </si>
  <si>
    <t>核心任务</t>
  </si>
  <si>
    <t>先核对数量、可卖股数、真实成本和账户净资产，再比较本金口径并形成未来10个交易日的if→then计划。</t>
  </si>
  <si>
    <t>已知冲突</t>
  </si>
  <si>
    <t>单票权重超过硬上限；最低保留股数和最低卖价均为软偏好；当日买入3,000股不可卖。</t>
  </si>
  <si>
    <t>异常提示</t>
  </si>
  <si>
    <t>账户总资产不勾稽、OCR数量低置信、券商成本疑似未正确处理送股、存在未来行情和盘中未完成记录。</t>
  </si>
  <si>
    <t>使用边界</t>
  </si>
  <si>
    <t>技术状态只作辅助证据；不得联网补数据，不得代下单，不得把计划写成已成交。</t>
  </si>
  <si>
    <t>决策参数</t>
  </si>
  <si>
    <t>硬约束不得被用户偏好覆盖；含义不明的“本金”必须输出多口径。</t>
  </si>
  <si>
    <t>group</t>
  </si>
  <si>
    <t>parameter</t>
  </si>
  <si>
    <t>value</t>
  </si>
  <si>
    <t>unit</t>
  </si>
  <si>
    <t>hard_or_soft</t>
  </si>
  <si>
    <t>effective_from</t>
  </si>
  <si>
    <t>deadline</t>
  </si>
  <si>
    <t>rule</t>
  </si>
  <si>
    <t>source_id</t>
  </si>
  <si>
    <t>版本</t>
  </si>
  <si>
    <t>as_of_ts</t>
  </si>
  <si>
    <t>2026-09-18 15:30:00 Asia/Shanghai</t>
  </si>
  <si>
    <t>timestamp</t>
  </si>
  <si>
    <t>HARD</t>
  </si>
  <si>
    <t>晚于该时点可知的数据不得使用</t>
  </si>
  <si>
    <t>PAR-001</t>
  </si>
  <si>
    <t>base_currency</t>
  </si>
  <si>
    <t>CNY</t>
  </si>
  <si>
    <t>currency</t>
  </si>
  <si>
    <t>全部组合指标使用CNY</t>
  </si>
  <si>
    <t>PAR-002</t>
  </si>
  <si>
    <t>范围</t>
  </si>
  <si>
    <t>action_scope</t>
  </si>
  <si>
    <t>SYN100.SZ</t>
  </si>
  <si>
    <t>symbol</t>
  </si>
  <si>
    <t>只为该股票制定交易动作</t>
  </si>
  <si>
    <t>PAR-003</t>
  </si>
  <si>
    <t>风险</t>
  </si>
  <si>
    <t>single_position_weight_max</t>
  </si>
  <si>
    <t>%NAV</t>
  </si>
  <si>
    <t>使用可解释的NAV区间检查</t>
  </si>
  <si>
    <t>PAR-004</t>
  </si>
  <si>
    <t>portfolio_stress_loss_max</t>
  </si>
  <si>
    <t>按压力情景最大损失检查</t>
  </si>
  <si>
    <t>PAR-005</t>
  </si>
  <si>
    <t>target_risk_contribution_max</t>
  </si>
  <si>
    <t>%portfolio_risk</t>
  </si>
  <si>
    <t>相关性矩阵通过校验后计算</t>
  </si>
  <si>
    <t>PAR-006</t>
  </si>
  <si>
    <t>现金</t>
  </si>
  <si>
    <t>settled_low_risk_assets_min</t>
  </si>
  <si>
    <t>现金加可赎回低风险资产；未结算应收须按到账日</t>
  </si>
  <si>
    <t>PAR-007</t>
  </si>
  <si>
    <t>settled_cash_floor</t>
  </si>
  <si>
    <t>任一时点不得低于该值</t>
  </si>
  <si>
    <t>PAR-008</t>
  </si>
  <si>
    <t>流动性</t>
  </si>
  <si>
    <t>max_adv_participation_per_day</t>
  </si>
  <si>
    <t>%ADV20</t>
  </si>
  <si>
    <t>按实际成交数量计算</t>
  </si>
  <si>
    <t>PAR-009</t>
  </si>
  <si>
    <t>做T</t>
  </si>
  <si>
    <t>t_max_roundtrip_shares</t>
  </si>
  <si>
    <t>shares/day</t>
  </si>
  <si>
    <t>先卖可卖底仓；当日回补不得超过已卖数量</t>
  </si>
  <si>
    <t>PAR-010</t>
  </si>
  <si>
    <t>t_max_roundtrips</t>
  </si>
  <si>
    <t>roundtrip/day</t>
  </si>
  <si>
    <t>日终持股不得高于日初</t>
  </si>
  <si>
    <t>PAR-011</t>
  </si>
  <si>
    <t>偏好</t>
  </si>
  <si>
    <t>minimum_retained_shares</t>
  </si>
  <si>
    <t>shares</t>
  </si>
  <si>
    <t>SOFT</t>
  </si>
  <si>
    <t>与硬风险约束冲突时让位</t>
  </si>
  <si>
    <t>PAR-012</t>
  </si>
  <si>
    <t>minimum_sell_price_raw</t>
  </si>
  <si>
    <t>CNY/share</t>
  </si>
  <si>
    <t>必须标注为用户偏好而非止损保证</t>
  </si>
  <si>
    <t>PAR-013</t>
  </si>
  <si>
    <t>目标</t>
  </si>
  <si>
    <t>planning_horizon</t>
  </si>
  <si>
    <t>trading_days</t>
  </si>
  <si>
    <t>使用附件事件日历</t>
  </si>
  <si>
    <t>PAR-014</t>
  </si>
  <si>
    <t>口径</t>
  </si>
  <si>
    <t>principal_definition_status</t>
  </si>
  <si>
    <t>AMBIGUOUS</t>
  </si>
  <si>
    <t>category</t>
  </si>
  <si>
    <t>至少计算历史现金投入、分红后净投入和当前持仓成本</t>
  </si>
  <si>
    <t>PAR-015</t>
  </si>
  <si>
    <t>账户汇总</t>
  </si>
  <si>
    <t>券商账单汇总值与明细净资产存在差异；不得虚构其他资产补平。</t>
  </si>
  <si>
    <t>account_id</t>
  </si>
  <si>
    <t>snapshot_ts</t>
  </si>
  <si>
    <t>settled_cash</t>
  </si>
  <si>
    <t>unsettled_receivable</t>
  </si>
  <si>
    <t>other_receivable</t>
  </si>
  <si>
    <t>accrued_fee_payable</t>
  </si>
  <si>
    <t>statement_total_assets</t>
  </si>
  <si>
    <t>price_ts</t>
  </si>
  <si>
    <t>ACCT-SYN-01</t>
  </si>
  <si>
    <t>2026-09-18 15:05:00 Asia/Shanghai</t>
  </si>
  <si>
    <t>2026-09-18 15:00:00 Asia/Shanghai</t>
  </si>
  <si>
    <t>ACCT-001</t>
  </si>
  <si>
    <t>组合资产背景</t>
  </si>
  <si>
    <t>只有证券M在动作范围内；其他资产仅用于净资产、现金和组合风险计算。</t>
  </si>
  <si>
    <t>asset_id</t>
  </si>
  <si>
    <t>asset_name</t>
  </si>
  <si>
    <t>asset_type</t>
  </si>
  <si>
    <t>quantity</t>
  </si>
  <si>
    <t>price</t>
  </si>
  <si>
    <t>market_value_cny</t>
  </si>
  <si>
    <t>liquidity_tier</t>
  </si>
  <si>
    <t>settlement_rule</t>
  </si>
  <si>
    <t>证券M</t>
  </si>
  <si>
    <t>A_SHARE</t>
  </si>
  <si>
    <t>T1</t>
  </si>
  <si>
    <t>SELL_CASH_WITHDRAWABLE_T1</t>
  </si>
  <si>
    <t>AST-001</t>
  </si>
  <si>
    <t>SYN300ETF</t>
  </si>
  <si>
    <t>宽基ETF</t>
  </si>
  <si>
    <t>ETF</t>
  </si>
  <si>
    <t>OUT_OF_ACTION_SCOPE</t>
  </si>
  <si>
    <t>AST-002</t>
  </si>
  <si>
    <t>SYNBOND</t>
  </si>
  <si>
    <t>短债基金</t>
  </si>
  <si>
    <t>FUND</t>
  </si>
  <si>
    <t>T1_REDEMPTION</t>
  </si>
  <si>
    <t>REDEEMABLE_T1_BUT_NOT_AUTHORIZED</t>
  </si>
  <si>
    <t>AST-003</t>
  </si>
  <si>
    <t>CASH</t>
  </si>
  <si>
    <t>已结算现金</t>
  </si>
  <si>
    <t>T0</t>
  </si>
  <si>
    <t>AVAILABLE</t>
  </si>
  <si>
    <t>AST-004</t>
  </si>
  <si>
    <t>RECV-SETTLE</t>
  </si>
  <si>
    <t>证券结算应收</t>
  </si>
  <si>
    <t>RECEIVABLE</t>
  </si>
  <si>
    <t>DATED</t>
  </si>
  <si>
    <t>AVAILABLE_2026-09-21</t>
  </si>
  <si>
    <t>AST-005</t>
  </si>
  <si>
    <t>RECV-OTHER</t>
  </si>
  <si>
    <t>基金分配应收</t>
  </si>
  <si>
    <t>AVAILABLE_2026-09-25</t>
  </si>
  <si>
    <t>AST-006</t>
  </si>
  <si>
    <t>FEE-PAY</t>
  </si>
  <si>
    <t>应付费用</t>
  </si>
  <si>
    <t>LIABILITY</t>
  </si>
  <si>
    <t>PAYABLE_2026-09-21</t>
  </si>
  <si>
    <t>AST-007</t>
  </si>
  <si>
    <t>券商官方持仓</t>
  </si>
  <si>
    <t>数量字段优先于OCR；券商平均成本已被标为公司行动后待复核。</t>
  </si>
  <si>
    <t>total_quantity</t>
  </si>
  <si>
    <t>sellable_quantity</t>
  </si>
  <si>
    <t>frozen_today_buy</t>
  </si>
  <si>
    <t>provider_avg_cost</t>
  </si>
  <si>
    <t>provider_total_cost</t>
  </si>
  <si>
    <t>last_price</t>
  </si>
  <si>
    <t>market_value</t>
  </si>
  <si>
    <t>unrealized_pnl</t>
  </si>
  <si>
    <t>cost_status</t>
  </si>
  <si>
    <t>UNVERIFIED_AFTER_STOCK_DIVIDEND</t>
  </si>
  <si>
    <t>BRK-POS-001</t>
  </si>
  <si>
    <t>截图OCR结果</t>
  </si>
  <si>
    <t>OCR只用于交叉核验；低置信字段不得直接决定卖出数量。</t>
  </si>
  <si>
    <t>field</t>
  </si>
  <si>
    <t>ocr_value</t>
  </si>
  <si>
    <t>confidence</t>
  </si>
  <si>
    <t>bbox</t>
  </si>
  <si>
    <t>image_ts</t>
  </si>
  <si>
    <t>review_note</t>
  </si>
  <si>
    <t>120,84,250,112</t>
  </si>
  <si>
    <t>2026-09-18 15:06:00 Asia/Shanghai</t>
  </si>
  <si>
    <t>OCR-001</t>
  </si>
  <si>
    <t>高置信</t>
  </si>
  <si>
    <t>24,800</t>
  </si>
  <si>
    <t>386,84,466,112</t>
  </si>
  <si>
    <t>OCR-002</t>
  </si>
  <si>
    <t>疑似将0识别为8；须与官方持仓及流水核对</t>
  </si>
  <si>
    <t>21,000</t>
  </si>
  <si>
    <t>488,84,568,112</t>
  </si>
  <si>
    <t>OCR-003</t>
  </si>
  <si>
    <t>avg_cost</t>
  </si>
  <si>
    <t>13.12</t>
  </si>
  <si>
    <t>601,84,665,112</t>
  </si>
  <si>
    <t>OCR-004</t>
  </si>
  <si>
    <t>不能证明成本口径正确</t>
  </si>
  <si>
    <t>517,200.00</t>
  </si>
  <si>
    <t>701,84,812,112</t>
  </si>
  <si>
    <t>OCR-005</t>
  </si>
  <si>
    <t>与官方持仓一致</t>
  </si>
  <si>
    <t>证券M交易与现金流水</t>
  </si>
  <si>
    <t>净现金流以账户方向计：买入为负，现金分红为正。</t>
  </si>
  <si>
    <t>event_id</t>
  </si>
  <si>
    <t>trade_date</t>
  </si>
  <si>
    <t>settle_date</t>
  </si>
  <si>
    <t>event_type</t>
  </si>
  <si>
    <t>gross_amount</t>
  </si>
  <si>
    <t>commission</t>
  </si>
  <si>
    <t>transfer_fee</t>
  </si>
  <si>
    <t>stamp_duty</t>
  </si>
  <si>
    <t>net_cash_flow</t>
  </si>
  <si>
    <t>batch_id</t>
  </si>
  <si>
    <t>TX-001</t>
  </si>
  <si>
    <t>BUY</t>
  </si>
  <si>
    <t>LOT-01</t>
  </si>
  <si>
    <t>LEDGER-001</t>
  </si>
  <si>
    <t>CF-001</t>
  </si>
  <si>
    <t>CASH_DIVIDEND</t>
  </si>
  <si>
    <t>LEDGER-002</t>
  </si>
  <si>
    <t>CA-001</t>
  </si>
  <si>
    <t>STOCK_DIVIDEND</t>
  </si>
  <si>
    <t>LEDGER-003</t>
  </si>
  <si>
    <t>TX-002</t>
  </si>
  <si>
    <t>LOT-02</t>
  </si>
  <si>
    <t>LEDGER-004</t>
  </si>
  <si>
    <t>TX-003</t>
  </si>
  <si>
    <t>LOT-03</t>
  </si>
  <si>
    <t>LEDGER-005</t>
  </si>
  <si>
    <t>公司行动</t>
  </si>
  <si>
    <t>历史触发价和成本须使用同一公司行动口径；未来现金分红取决于登记日持仓。</t>
  </si>
  <si>
    <t>announcement_date</t>
  </si>
  <si>
    <t>record_date</t>
  </si>
  <si>
    <t>ex_date</t>
  </si>
  <si>
    <t>pay_date</t>
  </si>
  <si>
    <t>terms</t>
  </si>
  <si>
    <t>price_factor_before</t>
  </si>
  <si>
    <t>price_factor_after</t>
  </si>
  <si>
    <t>available_ts</t>
  </si>
  <si>
    <t>note</t>
  </si>
  <si>
    <t>CA-HIST-01</t>
  </si>
  <si>
    <t>每股0.10元</t>
  </si>
  <si>
    <t>2026-03-20 18:00:00 Asia/Shanghai</t>
  </si>
  <si>
    <t>已支付</t>
  </si>
  <si>
    <t>CA-HIST-02</t>
  </si>
  <si>
    <t>每10股送5股</t>
  </si>
  <si>
    <t>2026-06-15 18:00:00 Asia/Shanghai</t>
  </si>
  <si>
    <t>CA-002</t>
  </si>
  <si>
    <t>LOT-01增加5,000股；总成本不因送股增加</t>
  </si>
  <si>
    <t>CA-FUT-01</t>
  </si>
  <si>
    <t>2026-09-10 18:00:00 Asia/Shanghai</t>
  </si>
  <si>
    <t>CA-003</t>
  </si>
  <si>
    <t>登记日实际持股决定应收；除息后触发价需机械下调0.10元</t>
  </si>
  <si>
    <t>行情与交易状态</t>
  </si>
  <si>
    <t>优先使用研究时点前可知的正式收盘记录；未来和盘中记录仅用于测试排除。</t>
  </si>
  <si>
    <t>record_id</t>
  </si>
  <si>
    <t>market_date</t>
  </si>
  <si>
    <t>record_status</t>
  </si>
  <si>
    <t>raw_price</t>
  </si>
  <si>
    <t>qfq_price</t>
  </si>
  <si>
    <t>prev_close_raw</t>
  </si>
  <si>
    <t>limit_up</t>
  </si>
  <si>
    <t>limit_down</t>
  </si>
  <si>
    <t>trade_status</t>
  </si>
  <si>
    <t>bid1</t>
  </si>
  <si>
    <t>ask1</t>
  </si>
  <si>
    <t>source_rank</t>
  </si>
  <si>
    <t>MD-001</t>
  </si>
  <si>
    <t>FINAL</t>
  </si>
  <si>
    <t>NORMAL</t>
  </si>
  <si>
    <t>MKT-OFFICIAL-001</t>
  </si>
  <si>
    <t>MD-002</t>
  </si>
  <si>
    <t>2026-09-17 15:00:00 Asia/Shanghai</t>
  </si>
  <si>
    <t>2026-09-17 15:05:00 Asia/Shanghai</t>
  </si>
  <si>
    <t>FINAL_STALE</t>
  </si>
  <si>
    <t>MKT-VENDOR-002</t>
  </si>
  <si>
    <t>MD-003</t>
  </si>
  <si>
    <t>2026-09-18 14:55:00 Asia/Shanghai</t>
  </si>
  <si>
    <t>2026-09-18 14:55:01 Asia/Shanghai</t>
  </si>
  <si>
    <t>INTRADAY_PARTIAL</t>
  </si>
  <si>
    <t>MKT-INTRA-003</t>
  </si>
  <si>
    <t>MD-004</t>
  </si>
  <si>
    <t>2026-09-21 15:00:00 Asia/Shanghai</t>
  </si>
  <si>
    <t>2026-09-21 15:05:00 Asia/Shanghai</t>
  </si>
  <si>
    <t>FUTURE_FINAL</t>
  </si>
  <si>
    <t>MKT-FUTURE-004</t>
  </si>
  <si>
    <t>MD-005</t>
  </si>
  <si>
    <t>2026-06-29 15:00:00 Asia/Shanghai</t>
  </si>
  <si>
    <t>2026-06-29 15:05:00 Asia/Shanghai</t>
  </si>
  <si>
    <t>FINAL_PRE_STOCK_DIVIDEND</t>
  </si>
  <si>
    <t>MKT-HIST-005</t>
  </si>
  <si>
    <t>技术状态摘要</t>
  </si>
  <si>
    <t>仅作仓位决策的辅助输入；本附件不支持重新开展纯技术诊断。</t>
  </si>
  <si>
    <t>timeframe</t>
  </si>
  <si>
    <t>bar_end_date</t>
  </si>
  <si>
    <t>bar_status</t>
  </si>
  <si>
    <t>close_raw</t>
  </si>
  <si>
    <t>ma20_qfq</t>
  </si>
  <si>
    <t>ma60_qfq</t>
  </si>
  <si>
    <t>macd_hist</t>
  </si>
  <si>
    <t>rsi14</t>
  </si>
  <si>
    <t>support_raw</t>
  </si>
  <si>
    <t>resistance_raw</t>
  </si>
  <si>
    <t>TECH-001</t>
  </si>
  <si>
    <t>1D</t>
  </si>
  <si>
    <t>2026-09-18 15:10:00 Asia/Shanghai</t>
  </si>
  <si>
    <t>TECH-SRC-001</t>
  </si>
  <si>
    <t>TECH-002</t>
  </si>
  <si>
    <t>1W</t>
  </si>
  <si>
    <t>2026-09-18 15:20:00 Asia/Shanghai</t>
  </si>
  <si>
    <t>TECH-SRC-002</t>
  </si>
  <si>
    <t>TECH-003</t>
  </si>
  <si>
    <t>2026-09-21 15:10:00 Asia/Shanghai</t>
  </si>
  <si>
    <t>TECH-SRC-003</t>
  </si>
  <si>
    <t>市场与账户交易规则</t>
  </si>
  <si>
    <t>计划须同时满足T+1、手数、可卖数量、结算和不可成交状态。</t>
  </si>
  <si>
    <t>rule_id</t>
  </si>
  <si>
    <t>market</t>
  </si>
  <si>
    <t>instrument_type</t>
  </si>
  <si>
    <t>rule_name</t>
  </si>
  <si>
    <t>rule_value</t>
  </si>
  <si>
    <t>effective_date</t>
  </si>
  <si>
    <t>RULE-01</t>
  </si>
  <si>
    <t>CN_A_SYN</t>
  </si>
  <si>
    <t>buy_settlement</t>
  </si>
  <si>
    <t>T+1</t>
  </si>
  <si>
    <t>2026-01-01 00:00:00 Asia/Shanghai</t>
  </si>
  <si>
    <t>RULE-SRC-01</t>
  </si>
  <si>
    <t>当日买入股份当日不可卖</t>
  </si>
  <si>
    <t>RULE-02</t>
  </si>
  <si>
    <t>buy_lot_size</t>
  </si>
  <si>
    <t>RULE-SRC-02</t>
  </si>
  <si>
    <t>买入须为100股整数倍</t>
  </si>
  <si>
    <t>RULE-03</t>
  </si>
  <si>
    <t>planned_sell_unit</t>
  </si>
  <si>
    <t>RULE-SRC-03</t>
  </si>
  <si>
    <t>本题计划卖出按100股取整</t>
  </si>
  <si>
    <t>RULE-04</t>
  </si>
  <si>
    <t>sale_cash_withdrawable</t>
  </si>
  <si>
    <t>RULE-SRC-04</t>
  </si>
  <si>
    <t>卖出资金下一交易日可对外划转</t>
  </si>
  <si>
    <t>RULE-05</t>
  </si>
  <si>
    <t>daily_price_limit</t>
  </si>
  <si>
    <t>ratio</t>
  </si>
  <si>
    <t>RULE-SRC-05</t>
  </si>
  <si>
    <t>正常交易日</t>
  </si>
  <si>
    <t>RULE-06</t>
  </si>
  <si>
    <t>limit_down_no_bid</t>
  </si>
  <si>
    <t>NO_EXECUTION</t>
  </si>
  <si>
    <t>status</t>
  </si>
  <si>
    <t>RULE-SRC-06</t>
  </si>
  <si>
    <t>不得把委托数量视为成交</t>
  </si>
  <si>
    <t>RULE-07</t>
  </si>
  <si>
    <t>suspension</t>
  </si>
  <si>
    <t>RULE-SRC-07</t>
  </si>
  <si>
    <t>复牌后重新评估价格与风险</t>
  </si>
  <si>
    <t>费用与滑点参数</t>
  </si>
  <si>
    <t>所有交易方案须计算双边或单边费用；佣金有最低收费。</t>
  </si>
  <si>
    <t>fee_id</t>
  </si>
  <si>
    <t>fee_name</t>
  </si>
  <si>
    <t>side</t>
  </si>
  <si>
    <t>rate</t>
  </si>
  <si>
    <t>minimum_cny</t>
  </si>
  <si>
    <t>basis</t>
  </si>
  <si>
    <t>scenario</t>
  </si>
  <si>
    <t>FEE-01</t>
  </si>
  <si>
    <t>BUY/SELL</t>
  </si>
  <si>
    <t>ALL</t>
  </si>
  <si>
    <t>FEE-SRC-01</t>
  </si>
  <si>
    <t>每笔按较高者收取</t>
  </si>
  <si>
    <t>FEE-02</t>
  </si>
  <si>
    <t>FEE-SRC-02</t>
  </si>
  <si>
    <t>FEE-03</t>
  </si>
  <si>
    <t>SELL</t>
  </si>
  <si>
    <t>FEE-SRC-03</t>
  </si>
  <si>
    <t>SLIP-01</t>
  </si>
  <si>
    <t>one_way_slippage</t>
  </si>
  <si>
    <t>BASE</t>
  </si>
  <si>
    <t>LIQ-SRC-01</t>
  </si>
  <si>
    <t>基准执行假设</t>
  </si>
  <si>
    <t>SLIP-02</t>
  </si>
  <si>
    <t>STRESS</t>
  </si>
  <si>
    <t>LIQ-SRC-02</t>
  </si>
  <si>
    <t>波动或深度恶化情景</t>
  </si>
  <si>
    <t>BUF-01</t>
  </si>
  <si>
    <t>t_roundtrip_buffer</t>
  </si>
  <si>
    <t>ROUNDTRIP</t>
  </si>
  <si>
    <t>T_RULE</t>
  </si>
  <si>
    <t>PAR-016</t>
  </si>
  <si>
    <t>预期价差须覆盖双边费用、双边滑点及该缓冲</t>
  </si>
  <si>
    <t>证券M流动性</t>
  </si>
  <si>
    <t>每日计划数量以ADV参与率和交易状态约束；盘口快照不能保证未来成交。</t>
  </si>
  <si>
    <t>snapshot_date</t>
  </si>
  <si>
    <t>adv20_shares</t>
  </si>
  <si>
    <t>adv20_amount_cny</t>
  </si>
  <si>
    <t>bid_ask_spread_pct</t>
  </si>
  <si>
    <t>bid_depth_5_shares</t>
  </si>
  <si>
    <t>ask_depth_5_shares</t>
  </si>
  <si>
    <t>turnover_pct</t>
  </si>
  <si>
    <t>max_participation_pct</t>
  </si>
  <si>
    <t>max_daily_shares</t>
  </si>
  <si>
    <t>LIQ-001</t>
  </si>
  <si>
    <t>资产风险参数</t>
  </si>
  <si>
    <t>风险参数只用于附件给定的组合背景；现金波动率为0。</t>
  </si>
  <si>
    <t>annualized_volatility</t>
  </si>
  <si>
    <t>beta_equity</t>
  </si>
  <si>
    <t>liquidity_horizon_days</t>
  </si>
  <si>
    <t>risk_bucket</t>
  </si>
  <si>
    <t>parameter_date</t>
  </si>
  <si>
    <t>HIGH_VOL_EQUITY</t>
  </si>
  <si>
    <t>2026-09-18 15:15:00 Asia/Shanghai</t>
  </si>
  <si>
    <t>RISK-001</t>
  </si>
  <si>
    <t>技术状态偏强但不改变硬风险预算</t>
  </si>
  <si>
    <t>BROAD_EQUITY</t>
  </si>
  <si>
    <t>RISK-002</t>
  </si>
  <si>
    <t>LOW_RISK_FUND</t>
  </si>
  <si>
    <t>RISK-003</t>
  </si>
  <si>
    <t>RISK-004</t>
  </si>
  <si>
    <t>60日收益相关性矩阵</t>
  </si>
  <si>
    <t>使用前检查对称性、对角线和数值范围；现金相关性按0提供。</t>
  </si>
  <si>
    <t>CORR-001</t>
  </si>
  <si>
    <t>CORR-002</t>
  </si>
  <si>
    <t>CORR-003</t>
  </si>
  <si>
    <t>CORR-004</t>
  </si>
  <si>
    <t>十日压力情景</t>
  </si>
  <si>
    <t>无法成交的日期不得计入卖出现金；收益冲击与执行状态必须一起使用。</t>
  </si>
  <si>
    <t>scenario_id</t>
  </si>
  <si>
    <t>scenario_name</t>
  </si>
  <si>
    <t>target_return</t>
  </si>
  <si>
    <t>etf_return</t>
  </si>
  <si>
    <t>bond_return</t>
  </si>
  <si>
    <t>cash_return</t>
  </si>
  <si>
    <t>day1_trade_status</t>
  </si>
  <si>
    <t>later_gap_return</t>
  </si>
  <si>
    <t>slippage_case</t>
  </si>
  <si>
    <t>SCN-BASE</t>
  </si>
  <si>
    <t>基准震荡</t>
  </si>
  <si>
    <t>SCN-001</t>
  </si>
  <si>
    <t>用于常规计划</t>
  </si>
  <si>
    <t>SCN-UP</t>
  </si>
  <si>
    <t>趋势延续</t>
  </si>
  <si>
    <t>SCN-002</t>
  </si>
  <si>
    <t>技术偏强不豁免风险上限</t>
  </si>
  <si>
    <t>SCN-DOWN</t>
  </si>
  <si>
    <t>跌停后跳空</t>
  </si>
  <si>
    <t>LIMIT_DOWN_NO_BID</t>
  </si>
  <si>
    <t>SCN-003</t>
  </si>
  <si>
    <t>首日不可成交；次日价格再下跌5%</t>
  </si>
  <si>
    <t>SCN-HALT</t>
  </si>
  <si>
    <t>停牌后复牌</t>
  </si>
  <si>
    <t>SUSPENDED_3_TRADING_DAYS</t>
  </si>
  <si>
    <t>SCN-004</t>
  </si>
  <si>
    <t>前三个交易日不可成交</t>
  </si>
  <si>
    <t>决策期事件日历</t>
  </si>
  <si>
    <t>日期为合成交易日和已知账户事件；动作须注明最早可执行或可划转日。</t>
  </si>
  <si>
    <t>event_date</t>
  </si>
  <si>
    <t>is_trading_day</t>
  </si>
  <si>
    <t>amount_or_quantity</t>
  </si>
  <si>
    <t>known_asof</t>
  </si>
  <si>
    <t>EV-001</t>
  </si>
  <si>
    <t>TODAY_BUY_BECOMES_SELLABLE</t>
  </si>
  <si>
    <t>EV-SRC-001</t>
  </si>
  <si>
    <t>LOT-03最早可卖日</t>
  </si>
  <si>
    <t>EV-002</t>
  </si>
  <si>
    <t>UNSETTLED_RECEIVABLE_AVAILABLE</t>
  </si>
  <si>
    <t>EV-SRC-002</t>
  </si>
  <si>
    <t>EV-003</t>
  </si>
  <si>
    <t>ACCRUED_FEE_PAYABLE</t>
  </si>
  <si>
    <t>EV-SRC-003</t>
  </si>
  <si>
    <t>EV-004</t>
  </si>
  <si>
    <t>PLANNING_DAY</t>
  </si>
  <si>
    <t>trade_day_index</t>
  </si>
  <si>
    <t>EV-SRC-004</t>
  </si>
  <si>
    <t>EV-005</t>
  </si>
  <si>
    <t>TARGET_DIVIDEND_RECORD_DATE</t>
  </si>
  <si>
    <t>EV-SRC-005</t>
  </si>
  <si>
    <t>登记日收盘持仓决定分红资格</t>
  </si>
  <si>
    <t>EV-006</t>
  </si>
  <si>
    <t>TARGET_EX_DIVIDEND_DATE</t>
  </si>
  <si>
    <t>EV-SRC-006</t>
  </si>
  <si>
    <t>价格触发线需机械调整</t>
  </si>
  <si>
    <t>EV-007</t>
  </si>
  <si>
    <t>OTHER_RECEIVABLE_AVAILABLE</t>
  </si>
  <si>
    <t>EV-SRC-007</t>
  </si>
  <si>
    <t>EV-008</t>
  </si>
  <si>
    <t>EV-SRC-008</t>
  </si>
  <si>
    <t>EV-009</t>
  </si>
  <si>
    <t>TARGET_DIVIDEND_PAY_DATE</t>
  </si>
  <si>
    <t>CNY/share_eligible</t>
  </si>
  <si>
    <t>EV-SRC-009</t>
  </si>
  <si>
    <t>金额取决于2026-09-23实际持股</t>
  </si>
  <si>
    <t>EV-010</t>
  </si>
  <si>
    <t>DECISION_DEADLINE</t>
  </si>
  <si>
    <t>EV-SRC-010</t>
  </si>
  <si>
    <t>风险和低风险资产目标截止日</t>
  </si>
  <si>
    <t>数据质量与冲突</t>
  </si>
  <si>
    <t>硬缺陷必须排除或限制精度；不得以猜测填平残差。</t>
  </si>
  <si>
    <t>issue_id</t>
  </si>
  <si>
    <t>dataset</t>
  </si>
  <si>
    <t>field_or_record</t>
  </si>
  <si>
    <t>issue_type</t>
  </si>
  <si>
    <t>severity</t>
  </si>
  <si>
    <t>affected_task</t>
  </si>
  <si>
    <t>expected_handling</t>
  </si>
  <si>
    <t>DQ-001</t>
  </si>
  <si>
    <t>账户汇总/资产背景</t>
  </si>
  <si>
    <t>NAV_NOT_RECONCILED</t>
  </si>
  <si>
    <t>WEIGHT/CASH/RISK</t>
  </si>
  <si>
    <t>REPORT_2000_CNY_RESIDUAL_AND_USE_NAV_RANGE</t>
  </si>
  <si>
    <t>DQ-SRC-001</t>
  </si>
  <si>
    <t>OPEN</t>
  </si>
  <si>
    <t>不得虚构其他资产</t>
  </si>
  <si>
    <t>DQ-002</t>
  </si>
  <si>
    <t>OCR持仓</t>
  </si>
  <si>
    <t>LOW_CONFIDENCE_OCR</t>
  </si>
  <si>
    <t>SELLABLE_QUANTITY</t>
  </si>
  <si>
    <t>DO_NOT_OVERRIDE_OFFICIAL_OR_LEDGER</t>
  </si>
  <si>
    <t>DQ-SRC-002</t>
  </si>
  <si>
    <t>24,800疑似误识别</t>
  </si>
  <si>
    <t>DQ-003</t>
  </si>
  <si>
    <t>官方持仓</t>
  </si>
  <si>
    <t>CORPORATE_ACTION_COST_STALE</t>
  </si>
  <si>
    <t>PNL/PRINCIPAL</t>
  </si>
  <si>
    <t>REBUILD_FROM_LEDGER_AND_STOCK_DIVIDEND</t>
  </si>
  <si>
    <t>DQ-SRC-003</t>
  </si>
  <si>
    <t>券商成本仅作冲突口径</t>
  </si>
  <si>
    <t>DQ-004</t>
  </si>
  <si>
    <t>行情快照</t>
  </si>
  <si>
    <t>VALUATION/TRIGGER</t>
  </si>
  <si>
    <t>EXCLUDE_FROM_CLOSE_BASED_DECISION</t>
  </si>
  <si>
    <t>DQ-SRC-004</t>
  </si>
  <si>
    <t>DQ-005</t>
  </si>
  <si>
    <t>行情快照/技术状态</t>
  </si>
  <si>
    <t>MD-004/TECH-003</t>
  </si>
  <si>
    <t>AFTER_ASOF</t>
  </si>
  <si>
    <t>EXCLUDE_FUTURE_RECORDS</t>
  </si>
  <si>
    <t>DQ-SRC-005</t>
  </si>
  <si>
    <t>DQ-006</t>
  </si>
  <si>
    <t>官方持仓/交易流水</t>
  </si>
  <si>
    <t>TODAY_BUY_NOT_SELLABLE</t>
  </si>
  <si>
    <t>ACTION_PLAN</t>
  </si>
  <si>
    <t>SELLABLE_ONLY_FROM_2026-09-21</t>
  </si>
  <si>
    <t>DQ-SRC-006</t>
  </si>
  <si>
    <t>当日不得卖出3,000股</t>
  </si>
  <si>
    <t>DQ-007</t>
  </si>
  <si>
    <t>风险参数/技术状态</t>
  </si>
  <si>
    <t>TECHNICAL_RISK_CONFLICT</t>
  </si>
  <si>
    <t>ACTION_PRIORITY</t>
  </si>
  <si>
    <t>HARD_RISK_LIMIT_OVERRIDES_POSITIVE_TECHNICAL_STATE</t>
  </si>
  <si>
    <t>DQ-SRC-007</t>
  </si>
  <si>
    <t>趋势偏强不能覆盖仓位与风险贡献超限</t>
  </si>
  <si>
    <t>DQ-008</t>
  </si>
  <si>
    <t>SOFT_HARD_CONFLICT_IN_DOWNSIDE</t>
  </si>
  <si>
    <t>MEDIUM</t>
  </si>
  <si>
    <t>DOWNSIDE_PLAN</t>
  </si>
  <si>
    <t>PROVIDE_SCENARIOS_AND_STATE_WHEN_SOFT_FLOOR_FAILS</t>
  </si>
  <si>
    <t>DQ-SRC-008</t>
  </si>
  <si>
    <t>价格跌破20.80时须说明硬风险与偏好的取舍</t>
  </si>
  <si>
    <t>DQ-009</t>
  </si>
  <si>
    <t>公司行动/事件日历</t>
  </si>
  <si>
    <t>DIVIDEND_DEPENDS_ON_RECORD_DATE_POSITION</t>
  </si>
  <si>
    <t>CASH/TRIGGER</t>
  </si>
  <si>
    <t>DO_NOT_BOOK_FIXED_DIVIDEND_BEFORE_RECORD_DATE</t>
  </si>
  <si>
    <t>DQ-SRC-009</t>
  </si>
  <si>
    <t>除息后调整价格触发线</t>
  </si>
  <si>
    <t>DQ-010</t>
  </si>
  <si>
    <t>AMBIGUOUS_USER_TERM</t>
  </si>
  <si>
    <t>PRINCIPAL_RECOVERY</t>
  </si>
  <si>
    <t>CALCULATE_THREE_DEFINITIONS_AND_REQUEST_CONFIRMATION</t>
  </si>
  <si>
    <t>DQ-SRC-010</t>
  </si>
  <si>
    <t>不得只选有利口径</t>
  </si>
  <si>
    <t>证据索引</t>
  </si>
  <si>
    <t>主要结论需绑定工作表、记录键和source_id。</t>
  </si>
  <si>
    <t>topic</t>
  </si>
  <si>
    <t>primary_sheet</t>
  </si>
  <si>
    <t>record_key</t>
  </si>
  <si>
    <t>key_fields</t>
  </si>
  <si>
    <t>priority</t>
  </si>
  <si>
    <t>as_of_rule</t>
  </si>
  <si>
    <t>source_prefix</t>
  </si>
  <si>
    <t>研究边界</t>
  </si>
  <si>
    <t>value/hard_or_soft/deadline</t>
  </si>
  <si>
    <t>研究时点冻结</t>
  </si>
  <si>
    <t>PAR-</t>
  </si>
  <si>
    <t>账户净资产</t>
  </si>
  <si>
    <t>account_id/asset_id</t>
  </si>
  <si>
    <t>cash/receivables/market_value/statement_total_assets</t>
  </si>
  <si>
    <t>使用时点内正式价格</t>
  </si>
  <si>
    <t>ACCT-/AST-</t>
  </si>
  <si>
    <t>残差不得补造</t>
  </si>
  <si>
    <t>数量与成本</t>
  </si>
  <si>
    <t>官方持仓/交易流水/公司行动</t>
  </si>
  <si>
    <t>symbol/event_id</t>
  </si>
  <si>
    <t>quantity/sellable/cash_flow/terms</t>
  </si>
  <si>
    <t>公司行动按公布时间</t>
  </si>
  <si>
    <t>BRK-/LEDGER-/CA-</t>
  </si>
  <si>
    <t>官方数量优先于OCR</t>
  </si>
  <si>
    <t>行情状态</t>
  </si>
  <si>
    <t>available_ts/status/raw_price</t>
  </si>
  <si>
    <t>排除盘中和未来</t>
  </si>
  <si>
    <t>MKT-</t>
  </si>
  <si>
    <t>技术状态</t>
  </si>
  <si>
    <t>bar_status/support/resistance</t>
  </si>
  <si>
    <t>仅用完整且时点可知记录</t>
  </si>
  <si>
    <t>TECH-</t>
  </si>
  <si>
    <t>只作辅助</t>
  </si>
  <si>
    <t>执行约束</t>
  </si>
  <si>
    <t>交易规则/费用滑点/流动性</t>
  </si>
  <si>
    <t>rule_id/fee_id/symbol</t>
  </si>
  <si>
    <t>T+1/lot/fees/ADV/status</t>
  </si>
  <si>
    <t>采用生效版本</t>
  </si>
  <si>
    <t>RULE-/FEE-/LIQ-</t>
  </si>
  <si>
    <t>风险预算</t>
  </si>
  <si>
    <t>风险参数/相关性矩阵/压力情景</t>
  </si>
  <si>
    <t>asset_id/scenario_id</t>
  </si>
  <si>
    <t>vol/correlation/shock/status</t>
  </si>
  <si>
    <t>参数日期不晚于as-of</t>
  </si>
  <si>
    <t>RISK-/CORR-/SCN-</t>
  </si>
  <si>
    <t>异常处理</t>
  </si>
  <si>
    <t>数据质量</t>
  </si>
  <si>
    <t>severity/expected_handling</t>
  </si>
  <si>
    <t>全部保留</t>
  </si>
  <si>
    <t>DQ-</t>
  </si>
  <si>
    <t>数据字典</t>
  </si>
  <si>
    <t>空值表示未知或不适用，不等于0。</t>
  </si>
  <si>
    <t>sheet</t>
  </si>
  <si>
    <t>definition</t>
  </si>
  <si>
    <t>type</t>
  </si>
  <si>
    <t>null_meaning</t>
  </si>
  <si>
    <t>source_type</t>
  </si>
  <si>
    <t>quality_note</t>
  </si>
  <si>
    <t>券商账单展示的总资产</t>
  </si>
  <si>
    <t>number</t>
  </si>
  <si>
    <t>未提供</t>
  </si>
  <si>
    <t>BROKER_STATEMENT</t>
  </si>
  <si>
    <t>须与资产明细勾稽</t>
  </si>
  <si>
    <t>资产背景</t>
  </si>
  <si>
    <t>决策时点资产市值或应收账面值</t>
  </si>
  <si>
    <t>未知</t>
  </si>
  <si>
    <t>BROKER_DETAIL</t>
  </si>
  <si>
    <t>负数表示负债</t>
  </si>
  <si>
    <t>券商在快照时点显示的可卖数量</t>
  </si>
  <si>
    <t>integer</t>
  </si>
  <si>
    <t>BROKER_POSITION</t>
  </si>
  <si>
    <t>仍须结合T+1与交易状态</t>
  </si>
  <si>
    <t>交易流水</t>
  </si>
  <si>
    <t>账户方向净现金流；流入为正</t>
  </si>
  <si>
    <t>不适用</t>
  </si>
  <si>
    <t>BROKER_LEDGER</t>
  </si>
  <si>
    <t>包含已发生费用</t>
  </si>
  <si>
    <t>历史原始价转换为当前可比前复权价的乘数</t>
  </si>
  <si>
    <t>CORPORATE_ACTION</t>
  </si>
  <si>
    <t>送股前为0.6666667</t>
  </si>
  <si>
    <t>该记录进入研究系统的可知时间</t>
  </si>
  <si>
    <t>Asia/Shanghai</t>
  </si>
  <si>
    <t>MARKET_DATA</t>
  </si>
  <si>
    <t>晚于as-of不得使用</t>
  </si>
  <si>
    <t>按ADV上限预计算的每日最大参与股数</t>
  </si>
  <si>
    <t>LIQUIDITY_DATA</t>
  </si>
  <si>
    <t>仍受停牌和涨跌停限制</t>
  </si>
  <si>
    <t>风险参数</t>
  </si>
  <si>
    <t>60日年化波动率</t>
  </si>
  <si>
    <t>不足60日</t>
  </si>
  <si>
    <t>RISK_ENGINE</t>
  </si>
  <si>
    <t>仅用于本题</t>
  </si>
  <si>
    <t>相关性矩阵</t>
  </si>
  <si>
    <t>matrix_value</t>
  </si>
  <si>
    <t>60日收益相关系数</t>
  </si>
  <si>
    <t>-1 to 1</t>
  </si>
  <si>
    <t>样本不足</t>
  </si>
  <si>
    <t>使用前检查矩阵</t>
  </si>
  <si>
    <t>压力情景</t>
  </si>
  <si>
    <t>首日不可成交后的下一交易日附加价格冲击</t>
  </si>
  <si>
    <t>无附加冲击</t>
  </si>
  <si>
    <t>SCENARIO_INPUT</t>
  </si>
  <si>
    <t>与target_return依次复合</t>
  </si>
  <si>
    <t>事件日历</t>
  </si>
  <si>
    <t>事件在决策时点是否已知</t>
  </si>
  <si>
    <t>boolean</t>
  </si>
  <si>
    <t>EVENT_LEDGER</t>
  </si>
  <si>
    <t>false事件不得纳入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</si>
</sst>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yyyy\-mm\-dd"/>
    <numFmt numFmtId="177" formatCode="0.0%"/>
    <numFmt numFmtId="178" formatCode="#,##0.00;[Red]\(#,##0.00\);\-"/>
    <numFmt numFmtId="179" formatCode="0.0000000"/>
    <numFmt numFmtId="180" formatCode="0.000%"/>
  </numFmts>
  <fonts count="7">
    <font>
      <sz val="11"/>
      <name val="Carlito"/>
    </font>
    <font>
      <b/>
      <sz val="15"/>
      <color rgb="FF1F4E78"/>
      <name val="Arial"/>
      <family val="2"/>
    </font>
    <font>
      <i/>
      <sz val="10"/>
      <color rgb="FF6B7280"/>
      <name val="Arial"/>
      <family val="2"/>
    </font>
    <font>
      <b/>
      <sz val="9"/>
      <color rgb="FFFFFFFF"/>
      <name val="Arial"/>
      <family val="2"/>
    </font>
    <font>
      <sz val="9"/>
      <color rgb="FF111827"/>
      <name val="Arial"/>
      <family val="2"/>
    </font>
    <font>
      <sz val="11"/>
      <name val="Carlito"/>
    </font>
    <font>
      <sz val="9"/>
      <name val="FangSong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F2CC"/>
      </patternFill>
    </fill>
    <fill>
      <patternFill patternType="solid">
        <fgColor rgb="FFFDE9E7"/>
      </patternFill>
    </fill>
    <fill>
      <patternFill patternType="solid">
        <fgColor rgb="FFE2F0D9"/>
      </patternFill>
    </fill>
  </fills>
  <borders count="11">
    <border>
      <left/>
      <right/>
      <top/>
      <bottom/>
      <diagonal/>
    </border>
    <border>
      <left/>
      <right/>
      <top/>
      <bottom style="thin">
        <color rgb="FF1F4E78"/>
      </bottom>
      <diagonal/>
    </border>
    <border>
      <left/>
      <right style="thin">
        <color rgb="FFFFFFFF"/>
      </right>
      <top/>
      <bottom style="thin">
        <color rgb="FF1F4E78"/>
      </bottom>
      <diagonal/>
    </border>
    <border>
      <left style="thin">
        <color rgb="FFFFFFFF"/>
      </left>
      <right/>
      <top/>
      <bottom style="thin">
        <color rgb="FF1F4E78"/>
      </bottom>
      <diagonal/>
    </border>
    <border>
      <left/>
      <right style="thin">
        <color rgb="FFE5E7EB"/>
      </right>
      <top/>
      <bottom/>
      <diagonal/>
    </border>
    <border>
      <left style="thin">
        <color rgb="FFE5E7EB"/>
      </left>
      <right/>
      <top/>
      <bottom/>
      <diagonal/>
    </border>
    <border>
      <left/>
      <right style="thin">
        <color rgb="FFE5E7EB"/>
      </right>
      <top/>
      <bottom style="thin">
        <color rgb="FFE5E7EB"/>
      </bottom>
      <diagonal/>
    </border>
    <border>
      <left style="thin">
        <color rgb="FFE5E7EB"/>
      </left>
      <right/>
      <top/>
      <bottom style="thin">
        <color rgb="FFE5E7EB"/>
      </bottom>
      <diagonal/>
    </border>
    <border>
      <left style="thin">
        <color rgb="FFFFFFFF"/>
      </left>
      <right style="thin">
        <color rgb="FFFFFFFF"/>
      </right>
      <top/>
      <bottom style="thin">
        <color rgb="FF1F4E78"/>
      </bottom>
      <diagonal/>
    </border>
    <border>
      <left style="thin">
        <color rgb="FFE5E7EB"/>
      </left>
      <right style="thin">
        <color rgb="FFE5E7EB"/>
      </right>
      <top/>
      <bottom/>
      <diagonal/>
    </border>
    <border>
      <left style="thin">
        <color rgb="FFE5E7EB"/>
      </left>
      <right style="thin">
        <color rgb="FFE5E7EB"/>
      </right>
      <top/>
      <bottom style="thin">
        <color rgb="FFE5E7EB"/>
      </bottom>
      <diagonal/>
    </border>
  </borders>
  <cellStyleXfs count="2">
    <xf numFmtId="0" fontId="0" fillId="0" borderId="0"/>
    <xf numFmtId="0" fontId="5" fillId="0" borderId="0"/>
  </cellStyleXfs>
  <cellXfs count="49">
    <xf numFmtId="0" fontId="0" fillId="0" borderId="0" xfId="0"/>
    <xf numFmtId="0" fontId="1" fillId="0" borderId="1" xfId="1" applyFont="1" applyBorder="1"/>
    <xf numFmtId="0" fontId="2" fillId="0" borderId="0" xfId="1" applyFont="1"/>
    <xf numFmtId="0" fontId="3" fillId="2" borderId="2" xfId="1" applyFont="1" applyFill="1" applyBorder="1" applyAlignment="1">
      <alignment horizontal="center" vertical="center" wrapText="1"/>
    </xf>
    <xf numFmtId="0" fontId="3" fillId="2" borderId="3" xfId="1" applyFont="1" applyFill="1" applyBorder="1" applyAlignment="1">
      <alignment horizontal="center" vertical="center" wrapText="1"/>
    </xf>
    <xf numFmtId="0" fontId="4" fillId="0" borderId="0" xfId="1" applyFont="1"/>
    <xf numFmtId="0" fontId="4" fillId="0" borderId="4" xfId="1" applyFont="1" applyBorder="1" applyAlignment="1">
      <alignment vertical="top" wrapText="1"/>
    </xf>
    <xf numFmtId="0" fontId="4" fillId="0" borderId="5" xfId="1" applyFont="1" applyBorder="1" applyAlignment="1">
      <alignment vertical="top" wrapText="1"/>
    </xf>
    <xf numFmtId="0" fontId="4" fillId="0" borderId="6" xfId="1" applyFont="1" applyBorder="1" applyAlignment="1">
      <alignment vertical="top" wrapText="1"/>
    </xf>
    <xf numFmtId="0" fontId="4" fillId="0" borderId="7" xfId="1" applyFont="1" applyBorder="1" applyAlignment="1">
      <alignment vertical="top" wrapText="1"/>
    </xf>
    <xf numFmtId="0" fontId="3" fillId="2" borderId="8" xfId="1" applyFont="1" applyFill="1" applyBorder="1" applyAlignment="1">
      <alignment horizontal="center" vertical="center" wrapText="1"/>
    </xf>
    <xf numFmtId="0" fontId="4" fillId="0" borderId="9" xfId="1" applyFont="1" applyBorder="1" applyAlignment="1">
      <alignment vertical="top" wrapText="1"/>
    </xf>
    <xf numFmtId="0" fontId="4" fillId="0" borderId="10" xfId="1" applyFont="1" applyBorder="1" applyAlignment="1">
      <alignment vertical="top" wrapText="1"/>
    </xf>
    <xf numFmtId="176" fontId="4" fillId="0" borderId="9" xfId="1" applyNumberFormat="1" applyFont="1" applyBorder="1" applyAlignment="1">
      <alignment vertical="top" wrapText="1"/>
    </xf>
    <xf numFmtId="176" fontId="4" fillId="0" borderId="10" xfId="1" applyNumberFormat="1" applyFont="1" applyBorder="1" applyAlignment="1">
      <alignment vertical="top" wrapText="1"/>
    </xf>
    <xf numFmtId="177" fontId="4" fillId="0" borderId="9" xfId="1" applyNumberFormat="1" applyFont="1" applyBorder="1" applyAlignment="1">
      <alignment vertical="top" wrapText="1"/>
    </xf>
    <xf numFmtId="3" fontId="4" fillId="0" borderId="9" xfId="1" applyNumberFormat="1" applyFont="1" applyBorder="1" applyAlignment="1">
      <alignment vertical="top" wrapText="1"/>
    </xf>
    <xf numFmtId="4" fontId="4" fillId="0" borderId="9" xfId="1" applyNumberFormat="1" applyFont="1" applyBorder="1" applyAlignment="1">
      <alignment vertical="top" wrapText="1"/>
    </xf>
    <xf numFmtId="4" fontId="4" fillId="0" borderId="10" xfId="1" applyNumberFormat="1" applyFont="1" applyBorder="1" applyAlignment="1">
      <alignment vertical="top" wrapText="1"/>
    </xf>
    <xf numFmtId="0" fontId="4" fillId="0" borderId="9" xfId="1" applyFont="1" applyBorder="1" applyAlignment="1">
      <alignment vertical="top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10" xfId="1" applyFont="1" applyBorder="1" applyAlignment="1">
      <alignment vertical="top" wrapText="1"/>
      <extLst>
        <ext xmlns:xfpb="http://schemas.microsoft.com/office/spreadsheetml/2022/featurepropertybag" uri="{C7286773-470A-42A8-94C5-96B5CB345126}">
          <xfpb:xfComplement i="0"/>
        </ext>
      </extLst>
    </xf>
    <xf numFmtId="3" fontId="4" fillId="0" borderId="10" xfId="1" applyNumberFormat="1" applyFont="1" applyBorder="1" applyAlignment="1">
      <alignment vertical="top" wrapText="1"/>
    </xf>
    <xf numFmtId="177" fontId="4" fillId="0" borderId="10" xfId="1" applyNumberFormat="1" applyFont="1" applyBorder="1" applyAlignment="1">
      <alignment vertical="top" wrapText="1"/>
    </xf>
    <xf numFmtId="178" fontId="4" fillId="0" borderId="9" xfId="1" applyNumberFormat="1" applyFont="1" applyBorder="1" applyAlignment="1">
      <alignment vertical="top" wrapText="1"/>
    </xf>
    <xf numFmtId="178" fontId="4" fillId="0" borderId="10" xfId="1" applyNumberFormat="1" applyFont="1" applyBorder="1" applyAlignment="1">
      <alignment vertical="top" wrapText="1"/>
    </xf>
    <xf numFmtId="179" fontId="4" fillId="0" borderId="9" xfId="1" applyNumberFormat="1" applyFont="1" applyBorder="1" applyAlignment="1">
      <alignment vertical="top" wrapText="1"/>
    </xf>
    <xf numFmtId="179" fontId="4" fillId="0" borderId="10" xfId="1" applyNumberFormat="1" applyFont="1" applyBorder="1" applyAlignment="1">
      <alignment vertical="top" wrapText="1"/>
    </xf>
    <xf numFmtId="2" fontId="4" fillId="0" borderId="9" xfId="1" applyNumberFormat="1" applyFont="1" applyBorder="1" applyAlignment="1">
      <alignment vertical="top" wrapText="1"/>
    </xf>
    <xf numFmtId="2" fontId="4" fillId="0" borderId="10" xfId="1" applyNumberFormat="1" applyFont="1" applyBorder="1" applyAlignment="1">
      <alignment vertical="top" wrapText="1"/>
    </xf>
    <xf numFmtId="1" fontId="4" fillId="0" borderId="9" xfId="1" applyNumberFormat="1" applyFont="1" applyBorder="1" applyAlignment="1">
      <alignment vertical="top" wrapText="1"/>
    </xf>
    <xf numFmtId="1" fontId="4" fillId="0" borderId="10" xfId="1" applyNumberFormat="1" applyFont="1" applyBorder="1" applyAlignment="1">
      <alignment vertical="top" wrapText="1"/>
    </xf>
    <xf numFmtId="180" fontId="4" fillId="0" borderId="9" xfId="1" applyNumberFormat="1" applyFont="1" applyBorder="1" applyAlignment="1">
      <alignment vertical="top" wrapText="1"/>
    </xf>
    <xf numFmtId="180" fontId="4" fillId="0" borderId="10" xfId="1" applyNumberFormat="1" applyFont="1" applyBorder="1" applyAlignment="1">
      <alignment vertical="top" wrapText="1"/>
    </xf>
    <xf numFmtId="10" fontId="4" fillId="0" borderId="10" xfId="1" applyNumberFormat="1" applyFont="1" applyBorder="1" applyAlignment="1">
      <alignment vertical="top" wrapText="1"/>
    </xf>
    <xf numFmtId="0" fontId="4" fillId="0" borderId="4" xfId="1" applyFont="1" applyBorder="1" applyAlignment="1">
      <alignment vertical="center"/>
    </xf>
    <xf numFmtId="0" fontId="4" fillId="0" borderId="9" xfId="1" applyFont="1" applyBorder="1" applyAlignment="1">
      <alignment vertical="center"/>
    </xf>
    <xf numFmtId="0" fontId="4" fillId="0" borderId="5" xfId="1" applyFont="1" applyBorder="1" applyAlignment="1">
      <alignment vertical="center"/>
    </xf>
    <xf numFmtId="0" fontId="4" fillId="0" borderId="6" xfId="1" applyFont="1" applyBorder="1" applyAlignment="1">
      <alignment vertical="center"/>
    </xf>
    <xf numFmtId="0" fontId="4" fillId="0" borderId="10" xfId="1" applyFont="1" applyBorder="1" applyAlignment="1">
      <alignment vertical="center"/>
    </xf>
    <xf numFmtId="0" fontId="4" fillId="0" borderId="7" xfId="1" applyFont="1" applyBorder="1" applyAlignment="1">
      <alignment vertical="center"/>
    </xf>
    <xf numFmtId="0" fontId="4" fillId="0" borderId="1" xfId="1" applyFont="1" applyBorder="1"/>
    <xf numFmtId="0" fontId="3" fillId="0" borderId="0" xfId="1" applyFont="1"/>
    <xf numFmtId="4" fontId="4" fillId="3" borderId="10" xfId="1" applyNumberFormat="1" applyFont="1" applyFill="1" applyBorder="1" applyAlignment="1">
      <alignment vertical="top" wrapText="1"/>
    </xf>
    <xf numFmtId="177" fontId="4" fillId="4" borderId="9" xfId="1" applyNumberFormat="1" applyFont="1" applyFill="1" applyBorder="1" applyAlignment="1">
      <alignment vertical="top" wrapText="1"/>
    </xf>
    <xf numFmtId="0" fontId="4" fillId="5" borderId="4" xfId="1" applyFont="1" applyFill="1" applyBorder="1" applyAlignment="1">
      <alignment vertical="top" wrapText="1"/>
    </xf>
    <xf numFmtId="0" fontId="4" fillId="5" borderId="9" xfId="1" applyFont="1" applyFill="1" applyBorder="1" applyAlignment="1">
      <alignment vertical="top" wrapText="1"/>
    </xf>
    <xf numFmtId="176" fontId="4" fillId="5" borderId="9" xfId="1" applyNumberFormat="1" applyFont="1" applyFill="1" applyBorder="1" applyAlignment="1">
      <alignment vertical="top" wrapText="1"/>
    </xf>
    <xf numFmtId="2" fontId="4" fillId="5" borderId="9" xfId="1" applyNumberFormat="1" applyFont="1" applyFill="1" applyBorder="1" applyAlignment="1">
      <alignment vertical="top" wrapText="1"/>
    </xf>
    <xf numFmtId="0" fontId="4" fillId="5" borderId="5" xfId="1" applyFont="1" applyFill="1" applyBorder="1" applyAlignment="1">
      <alignment vertical="top" wrapText="1"/>
    </xf>
  </cellXfs>
  <cellStyles count="2">
    <cellStyle name="Normal" xfId="1" xr:uid="{00000000-0005-0000-0000-000000000000}"/>
    <cellStyle name="常规" xfId="0" builtinId="0"/>
  </cellStyles>
  <dxfs count="1">
    <dxf>
      <font>
        <color rgb="FF9C0006"/>
      </font>
      <fill>
        <patternFill patternType="solid">
          <bgColor rgb="FFFDE9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22/11/relationships/FeaturePropertyBag" Target="featurePropertyBag/featurePropertyBag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</sheetPr>
  <dimension ref="A2:Z10"/>
  <sheetViews>
    <sheetView showGridLines="0" tabSelected="1" workbookViewId="0">
      <selection activeCell="A10" sqref="A10:XFD10"/>
    </sheetView>
  </sheetViews>
  <sheetFormatPr baseColWidth="10" defaultColWidth="8.83203125" defaultRowHeight="14"/>
  <cols>
    <col min="1" max="1" width="26" customWidth="1"/>
    <col min="2" max="2" width="110" customWidth="1"/>
    <col min="3" max="6" width="10" customWidth="1"/>
  </cols>
  <sheetData>
    <row r="2" spans="1:26">
      <c r="A2" s="5"/>
      <c r="B2" s="5"/>
      <c r="C2" s="5"/>
      <c r="D2" s="5"/>
      <c r="E2" s="5"/>
      <c r="F2" s="5"/>
    </row>
    <row r="3" spans="1:26" ht="34" customHeight="1">
      <c r="A3" s="3" t="s">
        <v>0</v>
      </c>
      <c r="B3" s="4" t="s">
        <v>1</v>
      </c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</row>
    <row r="4" spans="1:26" ht="40" customHeight="1">
      <c r="A4" s="6" t="s">
        <v>2</v>
      </c>
      <c r="B4" s="7" t="s">
        <v>3</v>
      </c>
      <c r="C4" s="5"/>
      <c r="D4" s="5"/>
      <c r="E4" s="5"/>
      <c r="F4" s="5"/>
    </row>
    <row r="5" spans="1:26" ht="40" customHeight="1">
      <c r="A5" s="6" t="s">
        <v>4</v>
      </c>
      <c r="B5" s="7" t="s">
        <v>5</v>
      </c>
      <c r="C5" s="5"/>
      <c r="D5" s="5"/>
      <c r="E5" s="5"/>
      <c r="F5" s="5"/>
    </row>
    <row r="6" spans="1:26" ht="40" customHeight="1">
      <c r="A6" s="6" t="s">
        <v>6</v>
      </c>
      <c r="B6" s="7" t="s">
        <v>7</v>
      </c>
      <c r="C6" s="5"/>
      <c r="D6" s="5"/>
      <c r="E6" s="5"/>
      <c r="F6" s="5"/>
    </row>
    <row r="7" spans="1:26" ht="40" customHeight="1">
      <c r="A7" s="6" t="s">
        <v>8</v>
      </c>
      <c r="B7" s="7" t="s">
        <v>9</v>
      </c>
      <c r="C7" s="5"/>
      <c r="D7" s="5"/>
      <c r="E7" s="5"/>
      <c r="F7" s="5"/>
    </row>
    <row r="8" spans="1:26" ht="40" customHeight="1">
      <c r="A8" s="6" t="s">
        <v>10</v>
      </c>
      <c r="B8" s="7" t="s">
        <v>11</v>
      </c>
      <c r="C8" s="5"/>
      <c r="D8" s="5"/>
      <c r="E8" s="5"/>
      <c r="F8" s="5"/>
    </row>
    <row r="9" spans="1:26" ht="40" customHeight="1">
      <c r="A9" s="6" t="s">
        <v>12</v>
      </c>
      <c r="B9" s="7" t="s">
        <v>13</v>
      </c>
      <c r="C9" s="5"/>
      <c r="D9" s="5"/>
      <c r="E9" s="5"/>
      <c r="F9" s="5"/>
    </row>
    <row r="10" spans="1:26" ht="40" customHeight="1">
      <c r="A10" s="8" t="s">
        <v>14</v>
      </c>
      <c r="B10" s="9" t="s">
        <v>15</v>
      </c>
      <c r="C10" s="5"/>
      <c r="D10" s="5"/>
      <c r="E10" s="5"/>
      <c r="F10" s="5"/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2CC"/>
  </sheetPr>
  <dimension ref="A2:Z21"/>
  <sheetViews>
    <sheetView showGridLines="0" workbookViewId="0"/>
  </sheetViews>
  <sheetFormatPr baseColWidth="10" defaultColWidth="8.83203125" defaultRowHeight="14"/>
  <cols>
    <col min="1" max="2" width="30" customWidth="1"/>
    <col min="3" max="3" width="47" customWidth="1"/>
    <col min="4" max="5" width="25" customWidth="1"/>
    <col min="6" max="7" width="22" customWidth="1"/>
    <col min="8" max="8" width="61" customWidth="1"/>
    <col min="9" max="9" width="24" customWidth="1"/>
  </cols>
  <sheetData>
    <row r="2" spans="1:26" ht="19">
      <c r="A2" s="1" t="s">
        <v>16</v>
      </c>
      <c r="B2" s="40"/>
      <c r="C2" s="40"/>
      <c r="D2" s="40"/>
      <c r="E2" s="40"/>
      <c r="F2" s="40"/>
      <c r="G2" s="40"/>
      <c r="H2" s="40"/>
      <c r="I2" s="40"/>
    </row>
    <row r="3" spans="1:26">
      <c r="A3" s="2" t="s">
        <v>17</v>
      </c>
      <c r="B3" s="5"/>
      <c r="C3" s="5"/>
      <c r="D3" s="5"/>
      <c r="E3" s="5"/>
      <c r="F3" s="5"/>
      <c r="G3" s="5"/>
      <c r="H3" s="5"/>
      <c r="I3" s="5"/>
    </row>
    <row r="4" spans="1:26">
      <c r="A4" s="5"/>
      <c r="B4" s="5"/>
      <c r="C4" s="5"/>
      <c r="D4" s="5"/>
      <c r="E4" s="5"/>
      <c r="F4" s="5"/>
      <c r="G4" s="5"/>
      <c r="H4" s="5"/>
      <c r="I4" s="5"/>
    </row>
    <row r="5" spans="1:26">
      <c r="A5" s="5"/>
      <c r="B5" s="5"/>
      <c r="C5" s="5"/>
      <c r="D5" s="5"/>
      <c r="E5" s="5"/>
      <c r="F5" s="5"/>
      <c r="G5" s="5"/>
      <c r="H5" s="5"/>
      <c r="I5" s="5"/>
    </row>
    <row r="6" spans="1:26" ht="34" customHeight="1">
      <c r="A6" s="3" t="s">
        <v>18</v>
      </c>
      <c r="B6" s="10" t="s">
        <v>19</v>
      </c>
      <c r="C6" s="10" t="s">
        <v>20</v>
      </c>
      <c r="D6" s="10" t="s">
        <v>21</v>
      </c>
      <c r="E6" s="10" t="s">
        <v>22</v>
      </c>
      <c r="F6" s="10" t="s">
        <v>23</v>
      </c>
      <c r="G6" s="10" t="s">
        <v>24</v>
      </c>
      <c r="H6" s="10" t="s">
        <v>25</v>
      </c>
      <c r="I6" s="4" t="s">
        <v>26</v>
      </c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</row>
    <row r="7" spans="1:26" ht="40" customHeight="1">
      <c r="A7" s="6" t="s">
        <v>27</v>
      </c>
      <c r="B7" s="11" t="s">
        <v>28</v>
      </c>
      <c r="C7" s="11" t="s">
        <v>29</v>
      </c>
      <c r="D7" s="11" t="s">
        <v>30</v>
      </c>
      <c r="E7" s="11" t="s">
        <v>31</v>
      </c>
      <c r="F7" s="13">
        <v>46283</v>
      </c>
      <c r="G7" s="13"/>
      <c r="H7" s="11" t="s">
        <v>32</v>
      </c>
      <c r="I7" s="7" t="s">
        <v>33</v>
      </c>
    </row>
    <row r="8" spans="1:26" ht="40" customHeight="1">
      <c r="A8" s="6" t="s">
        <v>27</v>
      </c>
      <c r="B8" s="11" t="s">
        <v>34</v>
      </c>
      <c r="C8" s="11" t="s">
        <v>35</v>
      </c>
      <c r="D8" s="11" t="s">
        <v>36</v>
      </c>
      <c r="E8" s="11" t="s">
        <v>31</v>
      </c>
      <c r="F8" s="13">
        <v>46283</v>
      </c>
      <c r="G8" s="13"/>
      <c r="H8" s="11" t="s">
        <v>37</v>
      </c>
      <c r="I8" s="7" t="s">
        <v>38</v>
      </c>
    </row>
    <row r="9" spans="1:26" ht="40" customHeight="1">
      <c r="A9" s="6" t="s">
        <v>39</v>
      </c>
      <c r="B9" s="11" t="s">
        <v>40</v>
      </c>
      <c r="C9" s="11" t="s">
        <v>41</v>
      </c>
      <c r="D9" s="11" t="s">
        <v>42</v>
      </c>
      <c r="E9" s="11" t="s">
        <v>31</v>
      </c>
      <c r="F9" s="13">
        <v>46283</v>
      </c>
      <c r="G9" s="13"/>
      <c r="H9" s="11" t="s">
        <v>43</v>
      </c>
      <c r="I9" s="7" t="s">
        <v>44</v>
      </c>
    </row>
    <row r="10" spans="1:26" ht="40" customHeight="1">
      <c r="A10" s="6" t="s">
        <v>45</v>
      </c>
      <c r="B10" s="11" t="s">
        <v>46</v>
      </c>
      <c r="C10" s="15">
        <v>0.35</v>
      </c>
      <c r="D10" s="11" t="s">
        <v>47</v>
      </c>
      <c r="E10" s="11" t="s">
        <v>31</v>
      </c>
      <c r="F10" s="13">
        <v>46283</v>
      </c>
      <c r="G10" s="13">
        <v>46304</v>
      </c>
      <c r="H10" s="11" t="s">
        <v>48</v>
      </c>
      <c r="I10" s="7" t="s">
        <v>49</v>
      </c>
    </row>
    <row r="11" spans="1:26" ht="40" customHeight="1">
      <c r="A11" s="6" t="s">
        <v>45</v>
      </c>
      <c r="B11" s="11" t="s">
        <v>50</v>
      </c>
      <c r="C11" s="15">
        <v>0.08</v>
      </c>
      <c r="D11" s="11" t="s">
        <v>47</v>
      </c>
      <c r="E11" s="11" t="s">
        <v>31</v>
      </c>
      <c r="F11" s="13">
        <v>46283</v>
      </c>
      <c r="G11" s="13">
        <v>46304</v>
      </c>
      <c r="H11" s="11" t="s">
        <v>51</v>
      </c>
      <c r="I11" s="7" t="s">
        <v>52</v>
      </c>
    </row>
    <row r="12" spans="1:26" ht="40" customHeight="1">
      <c r="A12" s="6" t="s">
        <v>45</v>
      </c>
      <c r="B12" s="11" t="s">
        <v>53</v>
      </c>
      <c r="C12" s="15">
        <v>0.6</v>
      </c>
      <c r="D12" s="11" t="s">
        <v>54</v>
      </c>
      <c r="E12" s="11" t="s">
        <v>31</v>
      </c>
      <c r="F12" s="13">
        <v>46283</v>
      </c>
      <c r="G12" s="13">
        <v>46304</v>
      </c>
      <c r="H12" s="11" t="s">
        <v>55</v>
      </c>
      <c r="I12" s="7" t="s">
        <v>56</v>
      </c>
    </row>
    <row r="13" spans="1:26" ht="40" customHeight="1">
      <c r="A13" s="6" t="s">
        <v>57</v>
      </c>
      <c r="B13" s="11" t="s">
        <v>58</v>
      </c>
      <c r="C13" s="16">
        <v>300000</v>
      </c>
      <c r="D13" s="11" t="s">
        <v>35</v>
      </c>
      <c r="E13" s="11" t="s">
        <v>31</v>
      </c>
      <c r="F13" s="13">
        <v>46283</v>
      </c>
      <c r="G13" s="13">
        <v>46304</v>
      </c>
      <c r="H13" s="11" t="s">
        <v>59</v>
      </c>
      <c r="I13" s="7" t="s">
        <v>60</v>
      </c>
    </row>
    <row r="14" spans="1:26" ht="40" customHeight="1">
      <c r="A14" s="6" t="s">
        <v>57</v>
      </c>
      <c r="B14" s="11" t="s">
        <v>61</v>
      </c>
      <c r="C14" s="16">
        <v>50000</v>
      </c>
      <c r="D14" s="11" t="s">
        <v>35</v>
      </c>
      <c r="E14" s="11" t="s">
        <v>31</v>
      </c>
      <c r="F14" s="13">
        <v>46283</v>
      </c>
      <c r="G14" s="13"/>
      <c r="H14" s="11" t="s">
        <v>62</v>
      </c>
      <c r="I14" s="7" t="s">
        <v>63</v>
      </c>
    </row>
    <row r="15" spans="1:26" ht="40" customHeight="1">
      <c r="A15" s="6" t="s">
        <v>64</v>
      </c>
      <c r="B15" s="11" t="s">
        <v>65</v>
      </c>
      <c r="C15" s="15">
        <v>0.05</v>
      </c>
      <c r="D15" s="11" t="s">
        <v>66</v>
      </c>
      <c r="E15" s="11" t="s">
        <v>31</v>
      </c>
      <c r="F15" s="13">
        <v>46283</v>
      </c>
      <c r="G15" s="13"/>
      <c r="H15" s="11" t="s">
        <v>67</v>
      </c>
      <c r="I15" s="7" t="s">
        <v>68</v>
      </c>
    </row>
    <row r="16" spans="1:26" ht="40" customHeight="1">
      <c r="A16" s="6" t="s">
        <v>69</v>
      </c>
      <c r="B16" s="11" t="s">
        <v>70</v>
      </c>
      <c r="C16" s="17">
        <v>2000</v>
      </c>
      <c r="D16" s="11" t="s">
        <v>71</v>
      </c>
      <c r="E16" s="11" t="s">
        <v>31</v>
      </c>
      <c r="F16" s="13">
        <v>46286</v>
      </c>
      <c r="G16" s="13">
        <v>46304</v>
      </c>
      <c r="H16" s="11" t="s">
        <v>72</v>
      </c>
      <c r="I16" s="7" t="s">
        <v>73</v>
      </c>
    </row>
    <row r="17" spans="1:9" ht="40" customHeight="1">
      <c r="A17" s="6" t="s">
        <v>69</v>
      </c>
      <c r="B17" s="11" t="s">
        <v>74</v>
      </c>
      <c r="C17" s="17">
        <v>1</v>
      </c>
      <c r="D17" s="11" t="s">
        <v>75</v>
      </c>
      <c r="E17" s="11" t="s">
        <v>31</v>
      </c>
      <c r="F17" s="13">
        <v>46286</v>
      </c>
      <c r="G17" s="13">
        <v>46304</v>
      </c>
      <c r="H17" s="11" t="s">
        <v>76</v>
      </c>
      <c r="I17" s="7" t="s">
        <v>77</v>
      </c>
    </row>
    <row r="18" spans="1:9" ht="40" customHeight="1">
      <c r="A18" s="6" t="s">
        <v>78</v>
      </c>
      <c r="B18" s="11" t="s">
        <v>79</v>
      </c>
      <c r="C18" s="17">
        <v>12000</v>
      </c>
      <c r="D18" s="11" t="s">
        <v>80</v>
      </c>
      <c r="E18" s="11" t="s">
        <v>81</v>
      </c>
      <c r="F18" s="13">
        <v>46283</v>
      </c>
      <c r="G18" s="13">
        <v>46304</v>
      </c>
      <c r="H18" s="11" t="s">
        <v>82</v>
      </c>
      <c r="I18" s="7" t="s">
        <v>83</v>
      </c>
    </row>
    <row r="19" spans="1:9" ht="40" customHeight="1">
      <c r="A19" s="6" t="s">
        <v>78</v>
      </c>
      <c r="B19" s="11" t="s">
        <v>84</v>
      </c>
      <c r="C19" s="17">
        <v>20.8</v>
      </c>
      <c r="D19" s="11" t="s">
        <v>85</v>
      </c>
      <c r="E19" s="11" t="s">
        <v>81</v>
      </c>
      <c r="F19" s="13">
        <v>46283</v>
      </c>
      <c r="G19" s="13">
        <v>46304</v>
      </c>
      <c r="H19" s="11" t="s">
        <v>86</v>
      </c>
      <c r="I19" s="7" t="s">
        <v>87</v>
      </c>
    </row>
    <row r="20" spans="1:9" ht="40" customHeight="1">
      <c r="A20" s="6" t="s">
        <v>88</v>
      </c>
      <c r="B20" s="11" t="s">
        <v>89</v>
      </c>
      <c r="C20" s="17">
        <v>10</v>
      </c>
      <c r="D20" s="11" t="s">
        <v>90</v>
      </c>
      <c r="E20" s="11" t="s">
        <v>31</v>
      </c>
      <c r="F20" s="13">
        <v>46286</v>
      </c>
      <c r="G20" s="13">
        <v>46304</v>
      </c>
      <c r="H20" s="11" t="s">
        <v>91</v>
      </c>
      <c r="I20" s="7" t="s">
        <v>92</v>
      </c>
    </row>
    <row r="21" spans="1:9" ht="40" customHeight="1">
      <c r="A21" s="8" t="s">
        <v>93</v>
      </c>
      <c r="B21" s="12" t="s">
        <v>94</v>
      </c>
      <c r="C21" s="12" t="s">
        <v>95</v>
      </c>
      <c r="D21" s="12" t="s">
        <v>96</v>
      </c>
      <c r="E21" s="12" t="s">
        <v>31</v>
      </c>
      <c r="F21" s="14">
        <v>46283</v>
      </c>
      <c r="G21" s="14"/>
      <c r="H21" s="12" t="s">
        <v>97</v>
      </c>
      <c r="I21" s="9" t="s">
        <v>98</v>
      </c>
    </row>
  </sheetData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4472C4"/>
  </sheetPr>
  <dimension ref="A2:Z7"/>
  <sheetViews>
    <sheetView showGridLines="0" workbookViewId="0"/>
  </sheetViews>
  <sheetFormatPr baseColWidth="10" defaultColWidth="8.83203125" defaultRowHeight="14"/>
  <cols>
    <col min="1" max="3" width="32" customWidth="1"/>
    <col min="4" max="8" width="27" customWidth="1"/>
    <col min="9" max="10" width="43" customWidth="1"/>
  </cols>
  <sheetData>
    <row r="2" spans="1:26" ht="19">
      <c r="A2" s="1" t="s">
        <v>99</v>
      </c>
      <c r="B2" s="40"/>
      <c r="C2" s="40"/>
      <c r="D2" s="40"/>
      <c r="E2" s="40"/>
      <c r="F2" s="40"/>
      <c r="G2" s="40"/>
      <c r="H2" s="40"/>
      <c r="I2" s="40"/>
      <c r="J2" s="40"/>
    </row>
    <row r="3" spans="1:26">
      <c r="A3" s="2" t="s">
        <v>100</v>
      </c>
      <c r="B3" s="5"/>
      <c r="C3" s="5"/>
      <c r="D3" s="5"/>
      <c r="E3" s="5"/>
      <c r="F3" s="5"/>
      <c r="G3" s="5"/>
      <c r="H3" s="5"/>
      <c r="I3" s="5"/>
      <c r="J3" s="5"/>
    </row>
    <row r="4" spans="1:26">
      <c r="A4" s="5"/>
      <c r="B4" s="5"/>
      <c r="C4" s="5"/>
      <c r="D4" s="5"/>
      <c r="E4" s="5"/>
      <c r="F4" s="5"/>
      <c r="G4" s="5"/>
      <c r="H4" s="5"/>
      <c r="I4" s="5"/>
      <c r="J4" s="5"/>
    </row>
    <row r="5" spans="1:26">
      <c r="A5" s="5"/>
      <c r="B5" s="5"/>
      <c r="C5" s="5"/>
      <c r="D5" s="5"/>
      <c r="E5" s="5"/>
      <c r="F5" s="5"/>
      <c r="G5" s="5"/>
      <c r="H5" s="5"/>
      <c r="I5" s="5"/>
      <c r="J5" s="5"/>
    </row>
    <row r="6" spans="1:26" ht="34" customHeight="1">
      <c r="A6" s="3" t="s">
        <v>101</v>
      </c>
      <c r="B6" s="10" t="s">
        <v>102</v>
      </c>
      <c r="C6" s="10" t="s">
        <v>34</v>
      </c>
      <c r="D6" s="10" t="s">
        <v>103</v>
      </c>
      <c r="E6" s="10" t="s">
        <v>104</v>
      </c>
      <c r="F6" s="10" t="s">
        <v>105</v>
      </c>
      <c r="G6" s="10" t="s">
        <v>106</v>
      </c>
      <c r="H6" s="10" t="s">
        <v>107</v>
      </c>
      <c r="I6" s="10" t="s">
        <v>108</v>
      </c>
      <c r="J6" s="4" t="s">
        <v>26</v>
      </c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</row>
    <row r="7" spans="1:26" ht="40" customHeight="1">
      <c r="A7" s="8" t="s">
        <v>109</v>
      </c>
      <c r="B7" s="12" t="s">
        <v>110</v>
      </c>
      <c r="C7" s="12" t="s">
        <v>35</v>
      </c>
      <c r="D7" s="18">
        <v>72500</v>
      </c>
      <c r="E7" s="18">
        <v>8960</v>
      </c>
      <c r="F7" s="18">
        <v>2400</v>
      </c>
      <c r="G7" s="18">
        <v>12</v>
      </c>
      <c r="H7" s="18">
        <v>803048</v>
      </c>
      <c r="I7" s="12" t="s">
        <v>111</v>
      </c>
      <c r="J7" s="9" t="s">
        <v>112</v>
      </c>
    </row>
  </sheetData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4472C4"/>
  </sheetPr>
  <dimension ref="A2:Z13"/>
  <sheetViews>
    <sheetView showGridLines="0" workbookViewId="0"/>
  </sheetViews>
  <sheetFormatPr baseColWidth="10" defaultColWidth="8.83203125" defaultRowHeight="14"/>
  <cols>
    <col min="1" max="4" width="26" customWidth="1"/>
    <col min="5" max="7" width="24" customWidth="1"/>
    <col min="8" max="11" width="40" customWidth="1"/>
  </cols>
  <sheetData>
    <row r="2" spans="1:26" ht="19">
      <c r="A2" s="1" t="s">
        <v>113</v>
      </c>
      <c r="B2" s="40"/>
      <c r="C2" s="40"/>
      <c r="D2" s="40"/>
      <c r="E2" s="40"/>
      <c r="F2" s="40"/>
      <c r="G2" s="40"/>
      <c r="H2" s="40"/>
      <c r="I2" s="40"/>
      <c r="J2" s="40"/>
      <c r="K2" s="40"/>
    </row>
    <row r="3" spans="1:26">
      <c r="A3" s="2" t="s">
        <v>114</v>
      </c>
      <c r="B3" s="5"/>
      <c r="C3" s="5"/>
      <c r="D3" s="5"/>
      <c r="E3" s="5"/>
      <c r="F3" s="5"/>
      <c r="G3" s="5"/>
      <c r="H3" s="5"/>
      <c r="I3" s="5"/>
      <c r="J3" s="5"/>
      <c r="K3" s="5"/>
    </row>
    <row r="4" spans="1:26">
      <c r="A4" s="5"/>
      <c r="B4" s="5"/>
      <c r="C4" s="5"/>
      <c r="D4" s="5"/>
      <c r="E4" s="5"/>
      <c r="F4" s="5"/>
      <c r="G4" s="5"/>
      <c r="H4" s="5"/>
      <c r="I4" s="5"/>
      <c r="J4" s="5"/>
      <c r="K4" s="5"/>
    </row>
    <row r="5" spans="1:26">
      <c r="A5" s="5"/>
      <c r="B5" s="5"/>
      <c r="C5" s="5"/>
      <c r="D5" s="5"/>
      <c r="E5" s="5"/>
      <c r="F5" s="5"/>
      <c r="G5" s="5"/>
      <c r="H5" s="5"/>
      <c r="I5" s="5"/>
      <c r="J5" s="5"/>
      <c r="K5" s="5"/>
    </row>
    <row r="6" spans="1:26" ht="34" customHeight="1">
      <c r="A6" s="3" t="s">
        <v>115</v>
      </c>
      <c r="B6" s="10" t="s">
        <v>116</v>
      </c>
      <c r="C6" s="10" t="s">
        <v>117</v>
      </c>
      <c r="D6" s="10" t="s">
        <v>36</v>
      </c>
      <c r="E6" s="10" t="s">
        <v>118</v>
      </c>
      <c r="F6" s="10" t="s">
        <v>119</v>
      </c>
      <c r="G6" s="10" t="s">
        <v>120</v>
      </c>
      <c r="H6" s="10" t="s">
        <v>121</v>
      </c>
      <c r="I6" s="10" t="s">
        <v>122</v>
      </c>
      <c r="J6" s="10" t="s">
        <v>40</v>
      </c>
      <c r="K6" s="4" t="s">
        <v>26</v>
      </c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</row>
    <row r="7" spans="1:26" ht="40" customHeight="1">
      <c r="A7" s="6" t="s">
        <v>41</v>
      </c>
      <c r="B7" s="11" t="s">
        <v>123</v>
      </c>
      <c r="C7" s="11" t="s">
        <v>124</v>
      </c>
      <c r="D7" s="11" t="s">
        <v>35</v>
      </c>
      <c r="E7" s="17">
        <v>24000</v>
      </c>
      <c r="F7" s="17">
        <v>21.55</v>
      </c>
      <c r="G7" s="17">
        <v>517200</v>
      </c>
      <c r="H7" s="11" t="s">
        <v>125</v>
      </c>
      <c r="I7" s="11" t="s">
        <v>126</v>
      </c>
      <c r="J7" s="19" t="b">
        <v>1</v>
      </c>
      <c r="K7" s="7" t="s">
        <v>127</v>
      </c>
    </row>
    <row r="8" spans="1:26" ht="40" customHeight="1">
      <c r="A8" s="6" t="s">
        <v>128</v>
      </c>
      <c r="B8" s="11" t="s">
        <v>129</v>
      </c>
      <c r="C8" s="11" t="s">
        <v>130</v>
      </c>
      <c r="D8" s="11" t="s">
        <v>35</v>
      </c>
      <c r="E8" s="17">
        <v>2000</v>
      </c>
      <c r="F8" s="17">
        <v>40</v>
      </c>
      <c r="G8" s="17">
        <v>80000</v>
      </c>
      <c r="H8" s="11" t="s">
        <v>125</v>
      </c>
      <c r="I8" s="11" t="s">
        <v>131</v>
      </c>
      <c r="J8" s="19" t="b">
        <v>0</v>
      </c>
      <c r="K8" s="7" t="s">
        <v>132</v>
      </c>
    </row>
    <row r="9" spans="1:26" ht="40" customHeight="1">
      <c r="A9" s="6" t="s">
        <v>133</v>
      </c>
      <c r="B9" s="11" t="s">
        <v>134</v>
      </c>
      <c r="C9" s="11" t="s">
        <v>135</v>
      </c>
      <c r="D9" s="11" t="s">
        <v>35</v>
      </c>
      <c r="E9" s="17">
        <v>120000</v>
      </c>
      <c r="F9" s="17">
        <v>1</v>
      </c>
      <c r="G9" s="17">
        <v>120000</v>
      </c>
      <c r="H9" s="11" t="s">
        <v>136</v>
      </c>
      <c r="I9" s="11" t="s">
        <v>137</v>
      </c>
      <c r="J9" s="19" t="b">
        <v>0</v>
      </c>
      <c r="K9" s="7" t="s">
        <v>138</v>
      </c>
    </row>
    <row r="10" spans="1:26" ht="40" customHeight="1">
      <c r="A10" s="6" t="s">
        <v>139</v>
      </c>
      <c r="B10" s="11" t="s">
        <v>140</v>
      </c>
      <c r="C10" s="11" t="s">
        <v>139</v>
      </c>
      <c r="D10" s="11" t="s">
        <v>35</v>
      </c>
      <c r="E10" s="17">
        <v>72500</v>
      </c>
      <c r="F10" s="17">
        <v>1</v>
      </c>
      <c r="G10" s="17">
        <v>72500</v>
      </c>
      <c r="H10" s="11" t="s">
        <v>141</v>
      </c>
      <c r="I10" s="11" t="s">
        <v>142</v>
      </c>
      <c r="J10" s="19" t="b">
        <v>0</v>
      </c>
      <c r="K10" s="7" t="s">
        <v>143</v>
      </c>
    </row>
    <row r="11" spans="1:26" ht="40" customHeight="1">
      <c r="A11" s="6" t="s">
        <v>144</v>
      </c>
      <c r="B11" s="11" t="s">
        <v>145</v>
      </c>
      <c r="C11" s="11" t="s">
        <v>146</v>
      </c>
      <c r="D11" s="11" t="s">
        <v>35</v>
      </c>
      <c r="E11" s="17">
        <v>8960</v>
      </c>
      <c r="F11" s="17">
        <v>1</v>
      </c>
      <c r="G11" s="17">
        <v>8960</v>
      </c>
      <c r="H11" s="11" t="s">
        <v>147</v>
      </c>
      <c r="I11" s="11" t="s">
        <v>148</v>
      </c>
      <c r="J11" s="19" t="b">
        <v>0</v>
      </c>
      <c r="K11" s="7" t="s">
        <v>149</v>
      </c>
    </row>
    <row r="12" spans="1:26" ht="40" customHeight="1">
      <c r="A12" s="6" t="s">
        <v>150</v>
      </c>
      <c r="B12" s="11" t="s">
        <v>151</v>
      </c>
      <c r="C12" s="11" t="s">
        <v>146</v>
      </c>
      <c r="D12" s="11" t="s">
        <v>35</v>
      </c>
      <c r="E12" s="17">
        <v>2400</v>
      </c>
      <c r="F12" s="17">
        <v>1</v>
      </c>
      <c r="G12" s="17">
        <v>2400</v>
      </c>
      <c r="H12" s="11" t="s">
        <v>147</v>
      </c>
      <c r="I12" s="11" t="s">
        <v>152</v>
      </c>
      <c r="J12" s="19" t="b">
        <v>0</v>
      </c>
      <c r="K12" s="7" t="s">
        <v>153</v>
      </c>
    </row>
    <row r="13" spans="1:26" ht="40" customHeight="1">
      <c r="A13" s="8" t="s">
        <v>154</v>
      </c>
      <c r="B13" s="12" t="s">
        <v>155</v>
      </c>
      <c r="C13" s="12" t="s">
        <v>156</v>
      </c>
      <c r="D13" s="12" t="s">
        <v>35</v>
      </c>
      <c r="E13" s="18">
        <v>-12</v>
      </c>
      <c r="F13" s="18">
        <v>1</v>
      </c>
      <c r="G13" s="18">
        <v>-12</v>
      </c>
      <c r="H13" s="12" t="s">
        <v>147</v>
      </c>
      <c r="I13" s="12" t="s">
        <v>157</v>
      </c>
      <c r="J13" s="20" t="b">
        <v>0</v>
      </c>
      <c r="K13" s="9" t="s">
        <v>158</v>
      </c>
    </row>
  </sheetData>
  <phoneticPr fontId="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4472C4"/>
  </sheetPr>
  <dimension ref="A2:Z7"/>
  <sheetViews>
    <sheetView showGridLines="0" workbookViewId="0"/>
  </sheetViews>
  <sheetFormatPr baseColWidth="10" defaultColWidth="8.83203125" defaultRowHeight="14"/>
  <cols>
    <col min="1" max="3" width="34" customWidth="1"/>
    <col min="4" max="6" width="25" customWidth="1"/>
    <col min="7" max="12" width="27" customWidth="1"/>
    <col min="13" max="13" width="29" customWidth="1"/>
  </cols>
  <sheetData>
    <row r="2" spans="1:26" ht="19">
      <c r="A2" s="1" t="s">
        <v>159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</row>
    <row r="3" spans="1:26">
      <c r="A3" s="2" t="s">
        <v>160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26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 spans="1:26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</row>
    <row r="6" spans="1:26" ht="34" customHeight="1">
      <c r="A6" s="3" t="s">
        <v>101</v>
      </c>
      <c r="B6" s="10" t="s">
        <v>42</v>
      </c>
      <c r="C6" s="10" t="s">
        <v>102</v>
      </c>
      <c r="D6" s="10" t="s">
        <v>161</v>
      </c>
      <c r="E6" s="10" t="s">
        <v>162</v>
      </c>
      <c r="F6" s="10" t="s">
        <v>163</v>
      </c>
      <c r="G6" s="10" t="s">
        <v>164</v>
      </c>
      <c r="H6" s="10" t="s">
        <v>165</v>
      </c>
      <c r="I6" s="10" t="s">
        <v>166</v>
      </c>
      <c r="J6" s="10" t="s">
        <v>167</v>
      </c>
      <c r="K6" s="10" t="s">
        <v>168</v>
      </c>
      <c r="L6" s="10" t="s">
        <v>169</v>
      </c>
      <c r="M6" s="4" t="s">
        <v>26</v>
      </c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</row>
    <row r="7" spans="1:26" ht="40" customHeight="1">
      <c r="A7" s="8" t="s">
        <v>109</v>
      </c>
      <c r="B7" s="12" t="s">
        <v>41</v>
      </c>
      <c r="C7" s="12" t="s">
        <v>110</v>
      </c>
      <c r="D7" s="21">
        <v>24000</v>
      </c>
      <c r="E7" s="21">
        <v>21000</v>
      </c>
      <c r="F7" s="21">
        <v>3000</v>
      </c>
      <c r="G7" s="18">
        <v>13.12</v>
      </c>
      <c r="H7" s="18">
        <v>314880</v>
      </c>
      <c r="I7" s="18">
        <v>21.55</v>
      </c>
      <c r="J7" s="18">
        <v>517200</v>
      </c>
      <c r="K7" s="18">
        <v>202320</v>
      </c>
      <c r="L7" s="42" t="s">
        <v>170</v>
      </c>
      <c r="M7" s="9" t="s">
        <v>171</v>
      </c>
    </row>
  </sheetData>
  <phoneticPr fontId="6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4472C4"/>
  </sheetPr>
  <dimension ref="A2:Z11"/>
  <sheetViews>
    <sheetView showGridLines="0" workbookViewId="0"/>
  </sheetViews>
  <sheetFormatPr baseColWidth="10" defaultColWidth="8.83203125" defaultRowHeight="14"/>
  <cols>
    <col min="1" max="2" width="29" customWidth="1"/>
    <col min="3" max="3" width="22" customWidth="1"/>
    <col min="4" max="6" width="39" customWidth="1"/>
    <col min="7" max="7" width="61" customWidth="1"/>
  </cols>
  <sheetData>
    <row r="2" spans="1:26" ht="19">
      <c r="A2" s="1" t="s">
        <v>172</v>
      </c>
      <c r="B2" s="40"/>
      <c r="C2" s="40"/>
      <c r="D2" s="40"/>
      <c r="E2" s="40"/>
      <c r="F2" s="40"/>
      <c r="G2" s="40"/>
    </row>
    <row r="3" spans="1:26">
      <c r="A3" s="2" t="s">
        <v>173</v>
      </c>
      <c r="B3" s="5"/>
      <c r="C3" s="5"/>
      <c r="D3" s="5"/>
      <c r="E3" s="5"/>
      <c r="F3" s="5"/>
      <c r="G3" s="5"/>
    </row>
    <row r="4" spans="1:26">
      <c r="A4" s="5"/>
      <c r="B4" s="5"/>
      <c r="C4" s="5"/>
      <c r="D4" s="5"/>
      <c r="E4" s="5"/>
      <c r="F4" s="5"/>
      <c r="G4" s="5"/>
    </row>
    <row r="5" spans="1:26">
      <c r="A5" s="5"/>
      <c r="B5" s="5"/>
      <c r="C5" s="5"/>
      <c r="D5" s="5"/>
      <c r="E5" s="5"/>
      <c r="F5" s="5"/>
      <c r="G5" s="5"/>
    </row>
    <row r="6" spans="1:26" ht="34" customHeight="1">
      <c r="A6" s="3" t="s">
        <v>174</v>
      </c>
      <c r="B6" s="10" t="s">
        <v>175</v>
      </c>
      <c r="C6" s="10" t="s">
        <v>176</v>
      </c>
      <c r="D6" s="10" t="s">
        <v>177</v>
      </c>
      <c r="E6" s="10" t="s">
        <v>178</v>
      </c>
      <c r="F6" s="10" t="s">
        <v>26</v>
      </c>
      <c r="G6" s="4" t="s">
        <v>179</v>
      </c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</row>
    <row r="7" spans="1:26" ht="40" customHeight="1">
      <c r="A7" s="6" t="s">
        <v>42</v>
      </c>
      <c r="B7" s="11" t="s">
        <v>41</v>
      </c>
      <c r="C7" s="15">
        <v>0.99</v>
      </c>
      <c r="D7" s="11" t="s">
        <v>180</v>
      </c>
      <c r="E7" s="11" t="s">
        <v>181</v>
      </c>
      <c r="F7" s="11" t="s">
        <v>182</v>
      </c>
      <c r="G7" s="7" t="s">
        <v>183</v>
      </c>
    </row>
    <row r="8" spans="1:26" ht="40" customHeight="1">
      <c r="A8" s="6" t="s">
        <v>161</v>
      </c>
      <c r="B8" s="11" t="s">
        <v>184</v>
      </c>
      <c r="C8" s="43">
        <v>0.57999999999999996</v>
      </c>
      <c r="D8" s="11" t="s">
        <v>185</v>
      </c>
      <c r="E8" s="11" t="s">
        <v>181</v>
      </c>
      <c r="F8" s="11" t="s">
        <v>186</v>
      </c>
      <c r="G8" s="7" t="s">
        <v>187</v>
      </c>
    </row>
    <row r="9" spans="1:26" ht="40" customHeight="1">
      <c r="A9" s="6" t="s">
        <v>162</v>
      </c>
      <c r="B9" s="11" t="s">
        <v>188</v>
      </c>
      <c r="C9" s="15">
        <v>0.95</v>
      </c>
      <c r="D9" s="11" t="s">
        <v>189</v>
      </c>
      <c r="E9" s="11" t="s">
        <v>181</v>
      </c>
      <c r="F9" s="11" t="s">
        <v>190</v>
      </c>
      <c r="G9" s="7" t="s">
        <v>183</v>
      </c>
    </row>
    <row r="10" spans="1:26" ht="40" customHeight="1">
      <c r="A10" s="6" t="s">
        <v>191</v>
      </c>
      <c r="B10" s="11" t="s">
        <v>192</v>
      </c>
      <c r="C10" s="15">
        <v>0.87</v>
      </c>
      <c r="D10" s="11" t="s">
        <v>193</v>
      </c>
      <c r="E10" s="11" t="s">
        <v>181</v>
      </c>
      <c r="F10" s="11" t="s">
        <v>194</v>
      </c>
      <c r="G10" s="7" t="s">
        <v>195</v>
      </c>
    </row>
    <row r="11" spans="1:26" ht="40" customHeight="1">
      <c r="A11" s="8" t="s">
        <v>167</v>
      </c>
      <c r="B11" s="12" t="s">
        <v>196</v>
      </c>
      <c r="C11" s="22">
        <v>0.98</v>
      </c>
      <c r="D11" s="12" t="s">
        <v>197</v>
      </c>
      <c r="E11" s="12" t="s">
        <v>181</v>
      </c>
      <c r="F11" s="12" t="s">
        <v>198</v>
      </c>
      <c r="G11" s="9" t="s">
        <v>199</v>
      </c>
    </row>
  </sheetData>
  <phoneticPr fontId="6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4472C4"/>
  </sheetPr>
  <dimension ref="A2:Z11"/>
  <sheetViews>
    <sheetView showGridLines="0" workbookViewId="0"/>
  </sheetViews>
  <sheetFormatPr baseColWidth="10" defaultColWidth="8.83203125" defaultRowHeight="14"/>
  <cols>
    <col min="1" max="5" width="26" customWidth="1"/>
    <col min="6" max="12" width="23" customWidth="1"/>
    <col min="13" max="14" width="27" customWidth="1"/>
  </cols>
  <sheetData>
    <row r="2" spans="1:26" ht="19">
      <c r="A2" s="1" t="s">
        <v>200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</row>
    <row r="3" spans="1:26">
      <c r="A3" s="2" t="s">
        <v>201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</row>
    <row r="4" spans="1:26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</row>
    <row r="5" spans="1:26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26" ht="34" customHeight="1">
      <c r="A6" s="3" t="s">
        <v>202</v>
      </c>
      <c r="B6" s="10" t="s">
        <v>203</v>
      </c>
      <c r="C6" s="10" t="s">
        <v>204</v>
      </c>
      <c r="D6" s="10" t="s">
        <v>42</v>
      </c>
      <c r="E6" s="10" t="s">
        <v>205</v>
      </c>
      <c r="F6" s="10" t="s">
        <v>118</v>
      </c>
      <c r="G6" s="10" t="s">
        <v>119</v>
      </c>
      <c r="H6" s="10" t="s">
        <v>206</v>
      </c>
      <c r="I6" s="10" t="s">
        <v>207</v>
      </c>
      <c r="J6" s="10" t="s">
        <v>208</v>
      </c>
      <c r="K6" s="10" t="s">
        <v>209</v>
      </c>
      <c r="L6" s="10" t="s">
        <v>210</v>
      </c>
      <c r="M6" s="10" t="s">
        <v>211</v>
      </c>
      <c r="N6" s="4" t="s">
        <v>26</v>
      </c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</row>
    <row r="7" spans="1:26" ht="40" customHeight="1">
      <c r="A7" s="6" t="s">
        <v>212</v>
      </c>
      <c r="B7" s="13">
        <v>45964</v>
      </c>
      <c r="C7" s="13">
        <v>45965</v>
      </c>
      <c r="D7" s="11" t="s">
        <v>41</v>
      </c>
      <c r="E7" s="11" t="s">
        <v>213</v>
      </c>
      <c r="F7" s="16">
        <v>10000</v>
      </c>
      <c r="G7" s="23">
        <v>12</v>
      </c>
      <c r="H7" s="23">
        <v>120000</v>
      </c>
      <c r="I7" s="23">
        <v>30</v>
      </c>
      <c r="J7" s="23">
        <v>1.2</v>
      </c>
      <c r="K7" s="23">
        <v>0</v>
      </c>
      <c r="L7" s="23">
        <v>-120031.2</v>
      </c>
      <c r="M7" s="11" t="s">
        <v>214</v>
      </c>
      <c r="N7" s="7" t="s">
        <v>215</v>
      </c>
    </row>
    <row r="8" spans="1:26" ht="40" customHeight="1">
      <c r="A8" s="6" t="s">
        <v>216</v>
      </c>
      <c r="B8" s="13">
        <v>46127</v>
      </c>
      <c r="C8" s="13">
        <v>46127</v>
      </c>
      <c r="D8" s="11" t="s">
        <v>41</v>
      </c>
      <c r="E8" s="11" t="s">
        <v>217</v>
      </c>
      <c r="F8" s="16">
        <v>10000</v>
      </c>
      <c r="G8" s="23">
        <v>0.1</v>
      </c>
      <c r="H8" s="23">
        <v>1000</v>
      </c>
      <c r="I8" s="23">
        <v>0</v>
      </c>
      <c r="J8" s="23">
        <v>0</v>
      </c>
      <c r="K8" s="23">
        <v>0</v>
      </c>
      <c r="L8" s="23">
        <v>1000</v>
      </c>
      <c r="M8" s="11" t="s">
        <v>214</v>
      </c>
      <c r="N8" s="7" t="s">
        <v>218</v>
      </c>
    </row>
    <row r="9" spans="1:26" ht="40" customHeight="1">
      <c r="A9" s="6" t="s">
        <v>219</v>
      </c>
      <c r="B9" s="13">
        <v>46203</v>
      </c>
      <c r="C9" s="13">
        <v>46203</v>
      </c>
      <c r="D9" s="11" t="s">
        <v>41</v>
      </c>
      <c r="E9" s="11" t="s">
        <v>220</v>
      </c>
      <c r="F9" s="16">
        <v>5000</v>
      </c>
      <c r="G9" s="23">
        <v>0</v>
      </c>
      <c r="H9" s="23">
        <v>0</v>
      </c>
      <c r="I9" s="23">
        <v>0</v>
      </c>
      <c r="J9" s="23">
        <v>0</v>
      </c>
      <c r="K9" s="23">
        <v>0</v>
      </c>
      <c r="L9" s="23">
        <v>0</v>
      </c>
      <c r="M9" s="11" t="s">
        <v>214</v>
      </c>
      <c r="N9" s="7" t="s">
        <v>221</v>
      </c>
    </row>
    <row r="10" spans="1:26" ht="40" customHeight="1">
      <c r="A10" s="6" t="s">
        <v>222</v>
      </c>
      <c r="B10" s="13">
        <v>46213</v>
      </c>
      <c r="C10" s="13">
        <v>46216</v>
      </c>
      <c r="D10" s="11" t="s">
        <v>41</v>
      </c>
      <c r="E10" s="11" t="s">
        <v>213</v>
      </c>
      <c r="F10" s="16">
        <v>6000</v>
      </c>
      <c r="G10" s="23">
        <v>17.5</v>
      </c>
      <c r="H10" s="23">
        <v>105000</v>
      </c>
      <c r="I10" s="23">
        <v>26.25</v>
      </c>
      <c r="J10" s="23">
        <v>1.05</v>
      </c>
      <c r="K10" s="23">
        <v>0</v>
      </c>
      <c r="L10" s="23">
        <v>-105027.3</v>
      </c>
      <c r="M10" s="11" t="s">
        <v>223</v>
      </c>
      <c r="N10" s="7" t="s">
        <v>224</v>
      </c>
    </row>
    <row r="11" spans="1:26" ht="40" customHeight="1">
      <c r="A11" s="8" t="s">
        <v>225</v>
      </c>
      <c r="B11" s="14">
        <v>46283</v>
      </c>
      <c r="C11" s="14">
        <v>46286</v>
      </c>
      <c r="D11" s="12" t="s">
        <v>41</v>
      </c>
      <c r="E11" s="12" t="s">
        <v>213</v>
      </c>
      <c r="F11" s="21">
        <v>3000</v>
      </c>
      <c r="G11" s="24">
        <v>21.3</v>
      </c>
      <c r="H11" s="24">
        <v>63900</v>
      </c>
      <c r="I11" s="24">
        <v>15.98</v>
      </c>
      <c r="J11" s="24">
        <v>0.64</v>
      </c>
      <c r="K11" s="24">
        <v>0</v>
      </c>
      <c r="L11" s="24">
        <v>-63916.62</v>
      </c>
      <c r="M11" s="12" t="s">
        <v>226</v>
      </c>
      <c r="N11" s="9" t="s">
        <v>227</v>
      </c>
    </row>
  </sheetData>
  <phoneticPr fontId="6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4472C4"/>
  </sheetPr>
  <dimension ref="A2:Z9"/>
  <sheetViews>
    <sheetView showGridLines="0" workbookViewId="0"/>
  </sheetViews>
  <sheetFormatPr baseColWidth="10" defaultColWidth="8.83203125" defaultRowHeight="14"/>
  <cols>
    <col min="1" max="2" width="25" customWidth="1"/>
    <col min="3" max="6" width="24" customWidth="1"/>
    <col min="7" max="8" width="29" customWidth="1"/>
    <col min="9" max="10" width="28" customWidth="1"/>
    <col min="11" max="13" width="50" customWidth="1"/>
  </cols>
  <sheetData>
    <row r="2" spans="1:26" ht="19">
      <c r="A2" s="1" t="s">
        <v>228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</row>
    <row r="3" spans="1:26">
      <c r="A3" s="2" t="s">
        <v>229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26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 spans="1:26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</row>
    <row r="6" spans="1:26" ht="34" customHeight="1">
      <c r="A6" s="3" t="s">
        <v>202</v>
      </c>
      <c r="B6" s="10" t="s">
        <v>42</v>
      </c>
      <c r="C6" s="10" t="s">
        <v>230</v>
      </c>
      <c r="D6" s="10" t="s">
        <v>231</v>
      </c>
      <c r="E6" s="10" t="s">
        <v>232</v>
      </c>
      <c r="F6" s="10" t="s">
        <v>233</v>
      </c>
      <c r="G6" s="10" t="s">
        <v>205</v>
      </c>
      <c r="H6" s="10" t="s">
        <v>234</v>
      </c>
      <c r="I6" s="10" t="s">
        <v>235</v>
      </c>
      <c r="J6" s="10" t="s">
        <v>236</v>
      </c>
      <c r="K6" s="10" t="s">
        <v>237</v>
      </c>
      <c r="L6" s="10" t="s">
        <v>26</v>
      </c>
      <c r="M6" s="4" t="s">
        <v>238</v>
      </c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</row>
    <row r="7" spans="1:26" ht="40" customHeight="1">
      <c r="A7" s="6" t="s">
        <v>239</v>
      </c>
      <c r="B7" s="11" t="s">
        <v>41</v>
      </c>
      <c r="C7" s="13">
        <v>46101</v>
      </c>
      <c r="D7" s="13">
        <v>46112</v>
      </c>
      <c r="E7" s="13">
        <v>46113</v>
      </c>
      <c r="F7" s="13">
        <v>46127</v>
      </c>
      <c r="G7" s="11" t="s">
        <v>217</v>
      </c>
      <c r="H7" s="11" t="s">
        <v>240</v>
      </c>
      <c r="I7" s="25">
        <v>1</v>
      </c>
      <c r="J7" s="25">
        <v>1</v>
      </c>
      <c r="K7" s="11" t="s">
        <v>241</v>
      </c>
      <c r="L7" s="11" t="s">
        <v>219</v>
      </c>
      <c r="M7" s="7" t="s">
        <v>242</v>
      </c>
    </row>
    <row r="8" spans="1:26" ht="40" customHeight="1">
      <c r="A8" s="6" t="s">
        <v>243</v>
      </c>
      <c r="B8" s="11" t="s">
        <v>41</v>
      </c>
      <c r="C8" s="13">
        <v>46188</v>
      </c>
      <c r="D8" s="13">
        <v>46202</v>
      </c>
      <c r="E8" s="13">
        <v>46203</v>
      </c>
      <c r="F8" s="13">
        <v>46203</v>
      </c>
      <c r="G8" s="11" t="s">
        <v>220</v>
      </c>
      <c r="H8" s="11" t="s">
        <v>244</v>
      </c>
      <c r="I8" s="25">
        <v>0.66666669999999995</v>
      </c>
      <c r="J8" s="25">
        <v>1</v>
      </c>
      <c r="K8" s="11" t="s">
        <v>245</v>
      </c>
      <c r="L8" s="11" t="s">
        <v>246</v>
      </c>
      <c r="M8" s="7" t="s">
        <v>247</v>
      </c>
    </row>
    <row r="9" spans="1:26" ht="40" customHeight="1">
      <c r="A9" s="8" t="s">
        <v>248</v>
      </c>
      <c r="B9" s="12" t="s">
        <v>41</v>
      </c>
      <c r="C9" s="14">
        <v>46275</v>
      </c>
      <c r="D9" s="14">
        <v>46288</v>
      </c>
      <c r="E9" s="14">
        <v>46289</v>
      </c>
      <c r="F9" s="14">
        <v>46295</v>
      </c>
      <c r="G9" s="12" t="s">
        <v>217</v>
      </c>
      <c r="H9" s="12" t="s">
        <v>240</v>
      </c>
      <c r="I9" s="26">
        <v>1</v>
      </c>
      <c r="J9" s="26">
        <v>1</v>
      </c>
      <c r="K9" s="12" t="s">
        <v>249</v>
      </c>
      <c r="L9" s="12" t="s">
        <v>250</v>
      </c>
      <c r="M9" s="9" t="s">
        <v>251</v>
      </c>
    </row>
  </sheetData>
  <phoneticPr fontId="6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4472C4"/>
  </sheetPr>
  <dimension ref="A2:Z11"/>
  <sheetViews>
    <sheetView showGridLines="0" workbookViewId="0"/>
  </sheetViews>
  <sheetFormatPr baseColWidth="10" defaultColWidth="8.83203125" defaultRowHeight="14"/>
  <cols>
    <col min="1" max="3" width="25" customWidth="1"/>
    <col min="4" max="6" width="45" customWidth="1"/>
    <col min="7" max="14" width="22" customWidth="1"/>
    <col min="15" max="16" width="28" customWidth="1"/>
  </cols>
  <sheetData>
    <row r="2" spans="1:26" ht="19">
      <c r="A2" s="1" t="s">
        <v>252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</row>
    <row r="3" spans="1:26">
      <c r="A3" s="2" t="s">
        <v>253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1:26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spans="1:26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</row>
    <row r="6" spans="1:26" ht="34" customHeight="1">
      <c r="A6" s="3" t="s">
        <v>254</v>
      </c>
      <c r="B6" s="10" t="s">
        <v>42</v>
      </c>
      <c r="C6" s="10" t="s">
        <v>255</v>
      </c>
      <c r="D6" s="10" t="s">
        <v>108</v>
      </c>
      <c r="E6" s="10" t="s">
        <v>237</v>
      </c>
      <c r="F6" s="10" t="s">
        <v>256</v>
      </c>
      <c r="G6" s="10" t="s">
        <v>257</v>
      </c>
      <c r="H6" s="10" t="s">
        <v>258</v>
      </c>
      <c r="I6" s="10" t="s">
        <v>259</v>
      </c>
      <c r="J6" s="10" t="s">
        <v>260</v>
      </c>
      <c r="K6" s="10" t="s">
        <v>261</v>
      </c>
      <c r="L6" s="10" t="s">
        <v>262</v>
      </c>
      <c r="M6" s="10" t="s">
        <v>263</v>
      </c>
      <c r="N6" s="10" t="s">
        <v>264</v>
      </c>
      <c r="O6" s="10" t="s">
        <v>265</v>
      </c>
      <c r="P6" s="4" t="s">
        <v>26</v>
      </c>
      <c r="Q6" s="41"/>
      <c r="R6" s="41"/>
      <c r="S6" s="41"/>
      <c r="T6" s="41"/>
      <c r="U6" s="41"/>
      <c r="V6" s="41"/>
      <c r="W6" s="41"/>
      <c r="X6" s="41"/>
      <c r="Y6" s="41"/>
      <c r="Z6" s="41"/>
    </row>
    <row r="7" spans="1:26" ht="40" customHeight="1">
      <c r="A7" s="6" t="s">
        <v>266</v>
      </c>
      <c r="B7" s="11" t="s">
        <v>41</v>
      </c>
      <c r="C7" s="13">
        <v>46283</v>
      </c>
      <c r="D7" s="11" t="s">
        <v>111</v>
      </c>
      <c r="E7" s="11" t="s">
        <v>110</v>
      </c>
      <c r="F7" s="11" t="s">
        <v>267</v>
      </c>
      <c r="G7" s="27">
        <v>21.55</v>
      </c>
      <c r="H7" s="27">
        <v>21.55</v>
      </c>
      <c r="I7" s="27">
        <v>21.3</v>
      </c>
      <c r="J7" s="27">
        <v>23.43</v>
      </c>
      <c r="K7" s="27">
        <v>19.170000000000002</v>
      </c>
      <c r="L7" s="27" t="s">
        <v>268</v>
      </c>
      <c r="M7" s="27">
        <v>21.54</v>
      </c>
      <c r="N7" s="27">
        <v>21.56</v>
      </c>
      <c r="O7" s="29">
        <v>1</v>
      </c>
      <c r="P7" s="7" t="s">
        <v>269</v>
      </c>
    </row>
    <row r="8" spans="1:26" ht="40" customHeight="1">
      <c r="A8" s="6" t="s">
        <v>270</v>
      </c>
      <c r="B8" s="11" t="s">
        <v>41</v>
      </c>
      <c r="C8" s="13">
        <v>46282</v>
      </c>
      <c r="D8" s="11" t="s">
        <v>271</v>
      </c>
      <c r="E8" s="11" t="s">
        <v>272</v>
      </c>
      <c r="F8" s="11" t="s">
        <v>273</v>
      </c>
      <c r="G8" s="27">
        <v>21.3</v>
      </c>
      <c r="H8" s="27">
        <v>21.3</v>
      </c>
      <c r="I8" s="27">
        <v>21.08</v>
      </c>
      <c r="J8" s="27">
        <v>23.19</v>
      </c>
      <c r="K8" s="27">
        <v>18.97</v>
      </c>
      <c r="L8" s="27" t="s">
        <v>268</v>
      </c>
      <c r="M8" s="27">
        <v>21.29</v>
      </c>
      <c r="N8" s="27">
        <v>21.31</v>
      </c>
      <c r="O8" s="29">
        <v>2</v>
      </c>
      <c r="P8" s="7" t="s">
        <v>274</v>
      </c>
    </row>
    <row r="9" spans="1:26" ht="40" customHeight="1">
      <c r="A9" s="6" t="s">
        <v>275</v>
      </c>
      <c r="B9" s="11" t="s">
        <v>41</v>
      </c>
      <c r="C9" s="13">
        <v>46283</v>
      </c>
      <c r="D9" s="11" t="s">
        <v>276</v>
      </c>
      <c r="E9" s="11" t="s">
        <v>277</v>
      </c>
      <c r="F9" s="11" t="s">
        <v>278</v>
      </c>
      <c r="G9" s="27">
        <v>21.63</v>
      </c>
      <c r="H9" s="27">
        <v>21.63</v>
      </c>
      <c r="I9" s="27">
        <v>21.3</v>
      </c>
      <c r="J9" s="27">
        <v>23.43</v>
      </c>
      <c r="K9" s="27">
        <v>19.170000000000002</v>
      </c>
      <c r="L9" s="27" t="s">
        <v>268</v>
      </c>
      <c r="M9" s="27">
        <v>21.62</v>
      </c>
      <c r="N9" s="27">
        <v>21.64</v>
      </c>
      <c r="O9" s="29">
        <v>2</v>
      </c>
      <c r="P9" s="7" t="s">
        <v>279</v>
      </c>
    </row>
    <row r="10" spans="1:26" ht="40" customHeight="1">
      <c r="A10" s="6" t="s">
        <v>280</v>
      </c>
      <c r="B10" s="11" t="s">
        <v>41</v>
      </c>
      <c r="C10" s="13">
        <v>46286</v>
      </c>
      <c r="D10" s="11" t="s">
        <v>281</v>
      </c>
      <c r="E10" s="11" t="s">
        <v>282</v>
      </c>
      <c r="F10" s="11" t="s">
        <v>283</v>
      </c>
      <c r="G10" s="27">
        <v>22.1</v>
      </c>
      <c r="H10" s="27">
        <v>22.1</v>
      </c>
      <c r="I10" s="27">
        <v>21.55</v>
      </c>
      <c r="J10" s="27">
        <v>23.71</v>
      </c>
      <c r="K10" s="27">
        <v>19.399999999999999</v>
      </c>
      <c r="L10" s="27" t="s">
        <v>268</v>
      </c>
      <c r="M10" s="27">
        <v>22.09</v>
      </c>
      <c r="N10" s="27">
        <v>22.11</v>
      </c>
      <c r="O10" s="29">
        <v>1</v>
      </c>
      <c r="P10" s="7" t="s">
        <v>284</v>
      </c>
    </row>
    <row r="11" spans="1:26" ht="40" customHeight="1">
      <c r="A11" s="8" t="s">
        <v>285</v>
      </c>
      <c r="B11" s="12" t="s">
        <v>41</v>
      </c>
      <c r="C11" s="14">
        <v>46202</v>
      </c>
      <c r="D11" s="12" t="s">
        <v>286</v>
      </c>
      <c r="E11" s="12" t="s">
        <v>287</v>
      </c>
      <c r="F11" s="12" t="s">
        <v>288</v>
      </c>
      <c r="G11" s="28">
        <v>31.8</v>
      </c>
      <c r="H11" s="28">
        <v>21.2</v>
      </c>
      <c r="I11" s="28">
        <v>31.45</v>
      </c>
      <c r="J11" s="28">
        <v>34.6</v>
      </c>
      <c r="K11" s="28">
        <v>28.3</v>
      </c>
      <c r="L11" s="28" t="s">
        <v>268</v>
      </c>
      <c r="M11" s="28">
        <v>31.79</v>
      </c>
      <c r="N11" s="28">
        <v>31.81</v>
      </c>
      <c r="O11" s="30">
        <v>1</v>
      </c>
      <c r="P11" s="9" t="s">
        <v>289</v>
      </c>
    </row>
  </sheetData>
  <phoneticPr fontId="6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4472C4"/>
  </sheetPr>
  <dimension ref="A2:Z9"/>
  <sheetViews>
    <sheetView showGridLines="0" workbookViewId="0"/>
  </sheetViews>
  <sheetFormatPr baseColWidth="10" defaultColWidth="8.83203125" defaultRowHeight="14"/>
  <cols>
    <col min="1" max="5" width="28" customWidth="1"/>
    <col min="6" max="12" width="22" customWidth="1"/>
    <col min="13" max="14" width="43" customWidth="1"/>
  </cols>
  <sheetData>
    <row r="2" spans="1:26" ht="19">
      <c r="A2" s="1" t="s">
        <v>290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</row>
    <row r="3" spans="1:26">
      <c r="A3" s="2" t="s">
        <v>291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</row>
    <row r="4" spans="1:26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</row>
    <row r="5" spans="1:26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26" ht="34" customHeight="1">
      <c r="A6" s="3" t="s">
        <v>254</v>
      </c>
      <c r="B6" s="10" t="s">
        <v>42</v>
      </c>
      <c r="C6" s="10" t="s">
        <v>292</v>
      </c>
      <c r="D6" s="10" t="s">
        <v>293</v>
      </c>
      <c r="E6" s="10" t="s">
        <v>294</v>
      </c>
      <c r="F6" s="10" t="s">
        <v>295</v>
      </c>
      <c r="G6" s="10" t="s">
        <v>296</v>
      </c>
      <c r="H6" s="10" t="s">
        <v>297</v>
      </c>
      <c r="I6" s="10" t="s">
        <v>298</v>
      </c>
      <c r="J6" s="10" t="s">
        <v>299</v>
      </c>
      <c r="K6" s="10" t="s">
        <v>300</v>
      </c>
      <c r="L6" s="10" t="s">
        <v>301</v>
      </c>
      <c r="M6" s="10" t="s">
        <v>237</v>
      </c>
      <c r="N6" s="4" t="s">
        <v>26</v>
      </c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</row>
    <row r="7" spans="1:26" ht="40" customHeight="1">
      <c r="A7" s="44" t="s">
        <v>302</v>
      </c>
      <c r="B7" s="45" t="s">
        <v>41</v>
      </c>
      <c r="C7" s="45" t="s">
        <v>303</v>
      </c>
      <c r="D7" s="46">
        <v>46283</v>
      </c>
      <c r="E7" s="45" t="s">
        <v>267</v>
      </c>
      <c r="F7" s="47">
        <v>21.55</v>
      </c>
      <c r="G7" s="47">
        <v>20.95</v>
      </c>
      <c r="H7" s="47">
        <v>19.8</v>
      </c>
      <c r="I7" s="47">
        <v>0.16</v>
      </c>
      <c r="J7" s="47">
        <v>67</v>
      </c>
      <c r="K7" s="47">
        <v>20.8</v>
      </c>
      <c r="L7" s="47">
        <v>22.3</v>
      </c>
      <c r="M7" s="45" t="s">
        <v>304</v>
      </c>
      <c r="N7" s="48" t="s">
        <v>305</v>
      </c>
    </row>
    <row r="8" spans="1:26" ht="40" customHeight="1">
      <c r="A8" s="44" t="s">
        <v>306</v>
      </c>
      <c r="B8" s="45" t="s">
        <v>41</v>
      </c>
      <c r="C8" s="45" t="s">
        <v>307</v>
      </c>
      <c r="D8" s="46">
        <v>46283</v>
      </c>
      <c r="E8" s="45" t="s">
        <v>267</v>
      </c>
      <c r="F8" s="47">
        <v>21.55</v>
      </c>
      <c r="G8" s="47">
        <v>20.100000000000001</v>
      </c>
      <c r="H8" s="47">
        <v>18.899999999999999</v>
      </c>
      <c r="I8" s="47">
        <v>0.25</v>
      </c>
      <c r="J8" s="47">
        <v>64</v>
      </c>
      <c r="K8" s="47">
        <v>19.7</v>
      </c>
      <c r="L8" s="47">
        <v>23</v>
      </c>
      <c r="M8" s="45" t="s">
        <v>308</v>
      </c>
      <c r="N8" s="48" t="s">
        <v>309</v>
      </c>
    </row>
    <row r="9" spans="1:26" ht="40" customHeight="1">
      <c r="A9" s="8" t="s">
        <v>310</v>
      </c>
      <c r="B9" s="12" t="s">
        <v>41</v>
      </c>
      <c r="C9" s="12" t="s">
        <v>303</v>
      </c>
      <c r="D9" s="14">
        <v>46286</v>
      </c>
      <c r="E9" s="12" t="s">
        <v>283</v>
      </c>
      <c r="F9" s="28">
        <v>22.1</v>
      </c>
      <c r="G9" s="28">
        <v>21.05</v>
      </c>
      <c r="H9" s="28">
        <v>19.899999999999999</v>
      </c>
      <c r="I9" s="28">
        <v>0.22</v>
      </c>
      <c r="J9" s="28">
        <v>71</v>
      </c>
      <c r="K9" s="28">
        <v>20.9</v>
      </c>
      <c r="L9" s="28">
        <v>22.8</v>
      </c>
      <c r="M9" s="12" t="s">
        <v>311</v>
      </c>
      <c r="N9" s="9" t="s">
        <v>312</v>
      </c>
    </row>
  </sheetData>
  <phoneticPr fontId="6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4472C4"/>
  </sheetPr>
  <dimension ref="A2:Z13"/>
  <sheetViews>
    <sheetView showGridLines="0" workbookViewId="0"/>
  </sheetViews>
  <sheetFormatPr baseColWidth="10" defaultColWidth="8.83203125" defaultRowHeight="14"/>
  <cols>
    <col min="1" max="3" width="26" customWidth="1"/>
    <col min="4" max="6" width="31" customWidth="1"/>
    <col min="7" max="9" width="40" customWidth="1"/>
    <col min="10" max="10" width="54" customWidth="1"/>
  </cols>
  <sheetData>
    <row r="2" spans="1:26" ht="19">
      <c r="A2" s="1" t="s">
        <v>313</v>
      </c>
      <c r="B2" s="40"/>
      <c r="C2" s="40"/>
      <c r="D2" s="40"/>
      <c r="E2" s="40"/>
      <c r="F2" s="40"/>
      <c r="G2" s="40"/>
      <c r="H2" s="40"/>
      <c r="I2" s="40"/>
      <c r="J2" s="40"/>
    </row>
    <row r="3" spans="1:26">
      <c r="A3" s="2" t="s">
        <v>314</v>
      </c>
      <c r="B3" s="5"/>
      <c r="C3" s="5"/>
      <c r="D3" s="5"/>
      <c r="E3" s="5"/>
      <c r="F3" s="5"/>
      <c r="G3" s="5"/>
      <c r="H3" s="5"/>
      <c r="I3" s="5"/>
      <c r="J3" s="5"/>
    </row>
    <row r="4" spans="1:26">
      <c r="A4" s="5"/>
      <c r="B4" s="5"/>
      <c r="C4" s="5"/>
      <c r="D4" s="5"/>
      <c r="E4" s="5"/>
      <c r="F4" s="5"/>
      <c r="G4" s="5"/>
      <c r="H4" s="5"/>
      <c r="I4" s="5"/>
      <c r="J4" s="5"/>
    </row>
    <row r="5" spans="1:26">
      <c r="A5" s="5"/>
      <c r="B5" s="5"/>
      <c r="C5" s="5"/>
      <c r="D5" s="5"/>
      <c r="E5" s="5"/>
      <c r="F5" s="5"/>
      <c r="G5" s="5"/>
      <c r="H5" s="5"/>
      <c r="I5" s="5"/>
      <c r="J5" s="5"/>
    </row>
    <row r="6" spans="1:26" ht="34" customHeight="1">
      <c r="A6" s="3" t="s">
        <v>315</v>
      </c>
      <c r="B6" s="10" t="s">
        <v>316</v>
      </c>
      <c r="C6" s="10" t="s">
        <v>317</v>
      </c>
      <c r="D6" s="10" t="s">
        <v>318</v>
      </c>
      <c r="E6" s="10" t="s">
        <v>319</v>
      </c>
      <c r="F6" s="10" t="s">
        <v>21</v>
      </c>
      <c r="G6" s="10" t="s">
        <v>320</v>
      </c>
      <c r="H6" s="10" t="s">
        <v>237</v>
      </c>
      <c r="I6" s="10" t="s">
        <v>26</v>
      </c>
      <c r="J6" s="4" t="s">
        <v>238</v>
      </c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</row>
    <row r="7" spans="1:26" ht="40" customHeight="1">
      <c r="A7" s="6" t="s">
        <v>321</v>
      </c>
      <c r="B7" s="11" t="s">
        <v>322</v>
      </c>
      <c r="C7" s="11" t="s">
        <v>124</v>
      </c>
      <c r="D7" s="11" t="s">
        <v>323</v>
      </c>
      <c r="E7" s="11" t="s">
        <v>324</v>
      </c>
      <c r="F7" s="11" t="s">
        <v>25</v>
      </c>
      <c r="G7" s="13">
        <v>46023</v>
      </c>
      <c r="H7" s="11" t="s">
        <v>325</v>
      </c>
      <c r="I7" s="11" t="s">
        <v>326</v>
      </c>
      <c r="J7" s="7" t="s">
        <v>327</v>
      </c>
    </row>
    <row r="8" spans="1:26" ht="40" customHeight="1">
      <c r="A8" s="6" t="s">
        <v>328</v>
      </c>
      <c r="B8" s="11" t="s">
        <v>322</v>
      </c>
      <c r="C8" s="11" t="s">
        <v>124</v>
      </c>
      <c r="D8" s="11" t="s">
        <v>329</v>
      </c>
      <c r="E8" s="11">
        <v>100</v>
      </c>
      <c r="F8" s="11" t="s">
        <v>80</v>
      </c>
      <c r="G8" s="13">
        <v>46023</v>
      </c>
      <c r="H8" s="11" t="s">
        <v>325</v>
      </c>
      <c r="I8" s="11" t="s">
        <v>330</v>
      </c>
      <c r="J8" s="7" t="s">
        <v>331</v>
      </c>
    </row>
    <row r="9" spans="1:26" ht="40" customHeight="1">
      <c r="A9" s="6" t="s">
        <v>332</v>
      </c>
      <c r="B9" s="11" t="s">
        <v>322</v>
      </c>
      <c r="C9" s="11" t="s">
        <v>124</v>
      </c>
      <c r="D9" s="11" t="s">
        <v>333</v>
      </c>
      <c r="E9" s="11">
        <v>100</v>
      </c>
      <c r="F9" s="11" t="s">
        <v>80</v>
      </c>
      <c r="G9" s="13">
        <v>46023</v>
      </c>
      <c r="H9" s="11" t="s">
        <v>325</v>
      </c>
      <c r="I9" s="11" t="s">
        <v>334</v>
      </c>
      <c r="J9" s="7" t="s">
        <v>335</v>
      </c>
    </row>
    <row r="10" spans="1:26" ht="40" customHeight="1">
      <c r="A10" s="6" t="s">
        <v>336</v>
      </c>
      <c r="B10" s="11" t="s">
        <v>322</v>
      </c>
      <c r="C10" s="11" t="s">
        <v>124</v>
      </c>
      <c r="D10" s="11" t="s">
        <v>337</v>
      </c>
      <c r="E10" s="11" t="s">
        <v>324</v>
      </c>
      <c r="F10" s="11" t="s">
        <v>25</v>
      </c>
      <c r="G10" s="13">
        <v>46023</v>
      </c>
      <c r="H10" s="11" t="s">
        <v>325</v>
      </c>
      <c r="I10" s="11" t="s">
        <v>338</v>
      </c>
      <c r="J10" s="7" t="s">
        <v>339</v>
      </c>
    </row>
    <row r="11" spans="1:26" ht="40" customHeight="1">
      <c r="A11" s="6" t="s">
        <v>340</v>
      </c>
      <c r="B11" s="11" t="s">
        <v>322</v>
      </c>
      <c r="C11" s="11" t="s">
        <v>124</v>
      </c>
      <c r="D11" s="11" t="s">
        <v>341</v>
      </c>
      <c r="E11" s="15">
        <v>0.1</v>
      </c>
      <c r="F11" s="11" t="s">
        <v>342</v>
      </c>
      <c r="G11" s="13">
        <v>46023</v>
      </c>
      <c r="H11" s="11" t="s">
        <v>325</v>
      </c>
      <c r="I11" s="11" t="s">
        <v>343</v>
      </c>
      <c r="J11" s="7" t="s">
        <v>344</v>
      </c>
    </row>
    <row r="12" spans="1:26" ht="40" customHeight="1">
      <c r="A12" s="6" t="s">
        <v>345</v>
      </c>
      <c r="B12" s="11" t="s">
        <v>322</v>
      </c>
      <c r="C12" s="11" t="s">
        <v>124</v>
      </c>
      <c r="D12" s="11" t="s">
        <v>346</v>
      </c>
      <c r="E12" s="11" t="s">
        <v>347</v>
      </c>
      <c r="F12" s="11" t="s">
        <v>348</v>
      </c>
      <c r="G12" s="13">
        <v>46023</v>
      </c>
      <c r="H12" s="11" t="s">
        <v>325</v>
      </c>
      <c r="I12" s="11" t="s">
        <v>349</v>
      </c>
      <c r="J12" s="7" t="s">
        <v>350</v>
      </c>
    </row>
    <row r="13" spans="1:26" ht="40" customHeight="1">
      <c r="A13" s="8" t="s">
        <v>351</v>
      </c>
      <c r="B13" s="12" t="s">
        <v>322</v>
      </c>
      <c r="C13" s="12" t="s">
        <v>124</v>
      </c>
      <c r="D13" s="12" t="s">
        <v>352</v>
      </c>
      <c r="E13" s="12" t="s">
        <v>347</v>
      </c>
      <c r="F13" s="12" t="s">
        <v>348</v>
      </c>
      <c r="G13" s="14">
        <v>46023</v>
      </c>
      <c r="H13" s="12" t="s">
        <v>325</v>
      </c>
      <c r="I13" s="12" t="s">
        <v>353</v>
      </c>
      <c r="J13" s="9" t="s">
        <v>354</v>
      </c>
    </row>
  </sheetData>
  <phoneticPr fontId="6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4472C4"/>
  </sheetPr>
  <dimension ref="A2:Z12"/>
  <sheetViews>
    <sheetView showGridLines="0" workbookViewId="0"/>
  </sheetViews>
  <sheetFormatPr baseColWidth="10" defaultColWidth="8.83203125" defaultRowHeight="14"/>
  <cols>
    <col min="1" max="3" width="27" customWidth="1"/>
    <col min="4" max="6" width="25" customWidth="1"/>
    <col min="7" max="10" width="39" customWidth="1"/>
  </cols>
  <sheetData>
    <row r="2" spans="1:26" ht="19">
      <c r="A2" s="1" t="s">
        <v>355</v>
      </c>
      <c r="B2" s="40"/>
      <c r="C2" s="40"/>
      <c r="D2" s="40"/>
      <c r="E2" s="40"/>
      <c r="F2" s="40"/>
      <c r="G2" s="40"/>
      <c r="H2" s="40"/>
      <c r="I2" s="40"/>
      <c r="J2" s="40"/>
    </row>
    <row r="3" spans="1:26">
      <c r="A3" s="2" t="s">
        <v>356</v>
      </c>
      <c r="B3" s="5"/>
      <c r="C3" s="5"/>
      <c r="D3" s="5"/>
      <c r="E3" s="5"/>
      <c r="F3" s="5"/>
      <c r="G3" s="5"/>
      <c r="H3" s="5"/>
      <c r="I3" s="5"/>
      <c r="J3" s="5"/>
    </row>
    <row r="4" spans="1:26">
      <c r="A4" s="5"/>
      <c r="B4" s="5"/>
      <c r="C4" s="5"/>
      <c r="D4" s="5"/>
      <c r="E4" s="5"/>
      <c r="F4" s="5"/>
      <c r="G4" s="5"/>
      <c r="H4" s="5"/>
      <c r="I4" s="5"/>
      <c r="J4" s="5"/>
    </row>
    <row r="5" spans="1:26">
      <c r="A5" s="5"/>
      <c r="B5" s="5"/>
      <c r="C5" s="5"/>
      <c r="D5" s="5"/>
      <c r="E5" s="5"/>
      <c r="F5" s="5"/>
      <c r="G5" s="5"/>
      <c r="H5" s="5"/>
      <c r="I5" s="5"/>
      <c r="J5" s="5"/>
    </row>
    <row r="6" spans="1:26" ht="34" customHeight="1">
      <c r="A6" s="3" t="s">
        <v>357</v>
      </c>
      <c r="B6" s="10" t="s">
        <v>358</v>
      </c>
      <c r="C6" s="10" t="s">
        <v>359</v>
      </c>
      <c r="D6" s="10" t="s">
        <v>360</v>
      </c>
      <c r="E6" s="10" t="s">
        <v>361</v>
      </c>
      <c r="F6" s="10" t="s">
        <v>362</v>
      </c>
      <c r="G6" s="10" t="s">
        <v>363</v>
      </c>
      <c r="H6" s="10" t="s">
        <v>320</v>
      </c>
      <c r="I6" s="10" t="s">
        <v>26</v>
      </c>
      <c r="J6" s="4" t="s">
        <v>238</v>
      </c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</row>
    <row r="7" spans="1:26" ht="40" customHeight="1">
      <c r="A7" s="6" t="s">
        <v>364</v>
      </c>
      <c r="B7" s="11" t="s">
        <v>207</v>
      </c>
      <c r="C7" s="11" t="s">
        <v>365</v>
      </c>
      <c r="D7" s="31">
        <v>2.5000000000000001E-4</v>
      </c>
      <c r="E7" s="17">
        <v>5</v>
      </c>
      <c r="F7" s="11" t="s">
        <v>206</v>
      </c>
      <c r="G7" s="11" t="s">
        <v>366</v>
      </c>
      <c r="H7" s="13">
        <v>46023</v>
      </c>
      <c r="I7" s="11" t="s">
        <v>367</v>
      </c>
      <c r="J7" s="7" t="s">
        <v>368</v>
      </c>
    </row>
    <row r="8" spans="1:26" ht="40" customHeight="1">
      <c r="A8" s="6" t="s">
        <v>369</v>
      </c>
      <c r="B8" s="11" t="s">
        <v>208</v>
      </c>
      <c r="C8" s="11" t="s">
        <v>365</v>
      </c>
      <c r="D8" s="31">
        <v>1.0000000000000001E-5</v>
      </c>
      <c r="E8" s="17">
        <v>0</v>
      </c>
      <c r="F8" s="11" t="s">
        <v>206</v>
      </c>
      <c r="G8" s="11" t="s">
        <v>366</v>
      </c>
      <c r="H8" s="13">
        <v>46023</v>
      </c>
      <c r="I8" s="11" t="s">
        <v>370</v>
      </c>
      <c r="J8" s="7"/>
    </row>
    <row r="9" spans="1:26" ht="40" customHeight="1">
      <c r="A9" s="6" t="s">
        <v>371</v>
      </c>
      <c r="B9" s="11" t="s">
        <v>209</v>
      </c>
      <c r="C9" s="11" t="s">
        <v>372</v>
      </c>
      <c r="D9" s="31">
        <v>5.0000000000000001E-4</v>
      </c>
      <c r="E9" s="17">
        <v>0</v>
      </c>
      <c r="F9" s="11" t="s">
        <v>206</v>
      </c>
      <c r="G9" s="11" t="s">
        <v>366</v>
      </c>
      <c r="H9" s="13">
        <v>46023</v>
      </c>
      <c r="I9" s="11" t="s">
        <v>373</v>
      </c>
      <c r="J9" s="7"/>
    </row>
    <row r="10" spans="1:26" ht="40" customHeight="1">
      <c r="A10" s="6" t="s">
        <v>374</v>
      </c>
      <c r="B10" s="11" t="s">
        <v>375</v>
      </c>
      <c r="C10" s="11" t="s">
        <v>365</v>
      </c>
      <c r="D10" s="31">
        <v>1.5E-3</v>
      </c>
      <c r="E10" s="17">
        <v>0</v>
      </c>
      <c r="F10" s="11" t="s">
        <v>206</v>
      </c>
      <c r="G10" s="11" t="s">
        <v>376</v>
      </c>
      <c r="H10" s="13">
        <v>46283</v>
      </c>
      <c r="I10" s="11" t="s">
        <v>377</v>
      </c>
      <c r="J10" s="7" t="s">
        <v>378</v>
      </c>
    </row>
    <row r="11" spans="1:26" ht="40" customHeight="1">
      <c r="A11" s="6" t="s">
        <v>379</v>
      </c>
      <c r="B11" s="11" t="s">
        <v>375</v>
      </c>
      <c r="C11" s="11" t="s">
        <v>365</v>
      </c>
      <c r="D11" s="31">
        <v>4.0000000000000001E-3</v>
      </c>
      <c r="E11" s="17">
        <v>0</v>
      </c>
      <c r="F11" s="11" t="s">
        <v>206</v>
      </c>
      <c r="G11" s="11" t="s">
        <v>380</v>
      </c>
      <c r="H11" s="13">
        <v>46283</v>
      </c>
      <c r="I11" s="11" t="s">
        <v>381</v>
      </c>
      <c r="J11" s="7" t="s">
        <v>382</v>
      </c>
    </row>
    <row r="12" spans="1:26" ht="40" customHeight="1">
      <c r="A12" s="8" t="s">
        <v>383</v>
      </c>
      <c r="B12" s="12" t="s">
        <v>384</v>
      </c>
      <c r="C12" s="12" t="s">
        <v>385</v>
      </c>
      <c r="D12" s="32">
        <v>3.0000000000000001E-3</v>
      </c>
      <c r="E12" s="18">
        <v>0</v>
      </c>
      <c r="F12" s="12" t="s">
        <v>206</v>
      </c>
      <c r="G12" s="12" t="s">
        <v>386</v>
      </c>
      <c r="H12" s="14">
        <v>46283</v>
      </c>
      <c r="I12" s="12" t="s">
        <v>387</v>
      </c>
      <c r="J12" s="9" t="s">
        <v>388</v>
      </c>
    </row>
  </sheetData>
  <phoneticPr fontId="6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4472C4"/>
  </sheetPr>
  <dimension ref="A2:Z7"/>
  <sheetViews>
    <sheetView showGridLines="0" workbookViewId="0"/>
  </sheetViews>
  <sheetFormatPr baseColWidth="10" defaultColWidth="8.83203125" defaultRowHeight="14"/>
  <cols>
    <col min="1" max="2" width="25" customWidth="1"/>
    <col min="3" max="4" width="29" customWidth="1"/>
    <col min="5" max="11" width="25" customWidth="1"/>
    <col min="12" max="13" width="45" customWidth="1"/>
  </cols>
  <sheetData>
    <row r="2" spans="1:26" ht="19">
      <c r="A2" s="1" t="s">
        <v>389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</row>
    <row r="3" spans="1:26">
      <c r="A3" s="2" t="s">
        <v>390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26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 spans="1:26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</row>
    <row r="6" spans="1:26" ht="34" customHeight="1">
      <c r="A6" s="3" t="s">
        <v>42</v>
      </c>
      <c r="B6" s="10" t="s">
        <v>391</v>
      </c>
      <c r="C6" s="10" t="s">
        <v>392</v>
      </c>
      <c r="D6" s="10" t="s">
        <v>393</v>
      </c>
      <c r="E6" s="10" t="s">
        <v>394</v>
      </c>
      <c r="F6" s="10" t="s">
        <v>395</v>
      </c>
      <c r="G6" s="10" t="s">
        <v>396</v>
      </c>
      <c r="H6" s="10" t="s">
        <v>397</v>
      </c>
      <c r="I6" s="10" t="s">
        <v>262</v>
      </c>
      <c r="J6" s="10" t="s">
        <v>398</v>
      </c>
      <c r="K6" s="10" t="s">
        <v>399</v>
      </c>
      <c r="L6" s="10" t="s">
        <v>237</v>
      </c>
      <c r="M6" s="4" t="s">
        <v>26</v>
      </c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</row>
    <row r="7" spans="1:26" ht="40" customHeight="1">
      <c r="A7" s="8" t="s">
        <v>41</v>
      </c>
      <c r="B7" s="14">
        <v>46283</v>
      </c>
      <c r="C7" s="21">
        <v>180000</v>
      </c>
      <c r="D7" s="21">
        <v>3834000</v>
      </c>
      <c r="E7" s="33">
        <v>8.9999999999999998E-4</v>
      </c>
      <c r="F7" s="21">
        <v>12000</v>
      </c>
      <c r="G7" s="21">
        <v>10500</v>
      </c>
      <c r="H7" s="22">
        <v>2.1000000000000001E-2</v>
      </c>
      <c r="I7" s="12" t="s">
        <v>268</v>
      </c>
      <c r="J7" s="22">
        <v>0.05</v>
      </c>
      <c r="K7" s="21">
        <v>9000</v>
      </c>
      <c r="L7" s="12" t="s">
        <v>304</v>
      </c>
      <c r="M7" s="9" t="s">
        <v>400</v>
      </c>
    </row>
  </sheetData>
  <phoneticPr fontId="6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4472C4"/>
  </sheetPr>
  <dimension ref="A2:Z10"/>
  <sheetViews>
    <sheetView showGridLines="0" workbookViewId="0"/>
  </sheetViews>
  <sheetFormatPr baseColWidth="10" defaultColWidth="8.83203125" defaultRowHeight="14"/>
  <cols>
    <col min="1" max="2" width="26" customWidth="1"/>
    <col min="3" max="6" width="29" customWidth="1"/>
    <col min="7" max="9" width="41" customWidth="1"/>
    <col min="10" max="10" width="56" customWidth="1"/>
  </cols>
  <sheetData>
    <row r="2" spans="1:26" ht="19">
      <c r="A2" s="1" t="s">
        <v>401</v>
      </c>
      <c r="B2" s="40"/>
      <c r="C2" s="40"/>
      <c r="D2" s="40"/>
      <c r="E2" s="40"/>
      <c r="F2" s="40"/>
      <c r="G2" s="40"/>
      <c r="H2" s="40"/>
      <c r="I2" s="40"/>
      <c r="J2" s="40"/>
    </row>
    <row r="3" spans="1:26">
      <c r="A3" s="2" t="s">
        <v>402</v>
      </c>
      <c r="B3" s="5"/>
      <c r="C3" s="5"/>
      <c r="D3" s="5"/>
      <c r="E3" s="5"/>
      <c r="F3" s="5"/>
      <c r="G3" s="5"/>
      <c r="H3" s="5"/>
      <c r="I3" s="5"/>
      <c r="J3" s="5"/>
    </row>
    <row r="4" spans="1:26">
      <c r="A4" s="5"/>
      <c r="B4" s="5"/>
      <c r="C4" s="5"/>
      <c r="D4" s="5"/>
      <c r="E4" s="5"/>
      <c r="F4" s="5"/>
      <c r="G4" s="5"/>
      <c r="H4" s="5"/>
      <c r="I4" s="5"/>
      <c r="J4" s="5"/>
    </row>
    <row r="5" spans="1:26">
      <c r="A5" s="5"/>
      <c r="B5" s="5"/>
      <c r="C5" s="5"/>
      <c r="D5" s="5"/>
      <c r="E5" s="5"/>
      <c r="F5" s="5"/>
      <c r="G5" s="5"/>
      <c r="H5" s="5"/>
      <c r="I5" s="5"/>
      <c r="J5" s="5"/>
    </row>
    <row r="6" spans="1:26" ht="34" customHeight="1">
      <c r="A6" s="3" t="s">
        <v>115</v>
      </c>
      <c r="B6" s="10" t="s">
        <v>120</v>
      </c>
      <c r="C6" s="10" t="s">
        <v>403</v>
      </c>
      <c r="D6" s="10" t="s">
        <v>404</v>
      </c>
      <c r="E6" s="10" t="s">
        <v>405</v>
      </c>
      <c r="F6" s="10" t="s">
        <v>406</v>
      </c>
      <c r="G6" s="10" t="s">
        <v>407</v>
      </c>
      <c r="H6" s="10" t="s">
        <v>237</v>
      </c>
      <c r="I6" s="10" t="s">
        <v>26</v>
      </c>
      <c r="J6" s="4" t="s">
        <v>238</v>
      </c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</row>
    <row r="7" spans="1:26" ht="40" customHeight="1">
      <c r="A7" s="6" t="s">
        <v>41</v>
      </c>
      <c r="B7" s="17">
        <v>517200</v>
      </c>
      <c r="C7" s="15">
        <v>0.48</v>
      </c>
      <c r="D7" s="27">
        <v>1.35</v>
      </c>
      <c r="E7" s="11">
        <v>3</v>
      </c>
      <c r="F7" s="11" t="s">
        <v>408</v>
      </c>
      <c r="G7" s="13">
        <v>46283</v>
      </c>
      <c r="H7" s="11" t="s">
        <v>409</v>
      </c>
      <c r="I7" s="11" t="s">
        <v>410</v>
      </c>
      <c r="J7" s="7" t="s">
        <v>411</v>
      </c>
    </row>
    <row r="8" spans="1:26" ht="40" customHeight="1">
      <c r="A8" s="6" t="s">
        <v>128</v>
      </c>
      <c r="B8" s="17">
        <v>80000</v>
      </c>
      <c r="C8" s="15">
        <v>0.22</v>
      </c>
      <c r="D8" s="27">
        <v>1</v>
      </c>
      <c r="E8" s="11">
        <v>2</v>
      </c>
      <c r="F8" s="11" t="s">
        <v>412</v>
      </c>
      <c r="G8" s="13">
        <v>46283</v>
      </c>
      <c r="H8" s="11" t="s">
        <v>409</v>
      </c>
      <c r="I8" s="11" t="s">
        <v>413</v>
      </c>
      <c r="J8" s="7"/>
    </row>
    <row r="9" spans="1:26" ht="40" customHeight="1">
      <c r="A9" s="6" t="s">
        <v>133</v>
      </c>
      <c r="B9" s="17">
        <v>120000</v>
      </c>
      <c r="C9" s="15">
        <v>3.5000000000000003E-2</v>
      </c>
      <c r="D9" s="27">
        <v>-0.05</v>
      </c>
      <c r="E9" s="11">
        <v>2</v>
      </c>
      <c r="F9" s="11" t="s">
        <v>414</v>
      </c>
      <c r="G9" s="13">
        <v>46283</v>
      </c>
      <c r="H9" s="11" t="s">
        <v>409</v>
      </c>
      <c r="I9" s="11" t="s">
        <v>415</v>
      </c>
      <c r="J9" s="7"/>
    </row>
    <row r="10" spans="1:26" ht="40" customHeight="1">
      <c r="A10" s="8" t="s">
        <v>139</v>
      </c>
      <c r="B10" s="18">
        <v>72500</v>
      </c>
      <c r="C10" s="22">
        <v>0</v>
      </c>
      <c r="D10" s="28">
        <v>0</v>
      </c>
      <c r="E10" s="12">
        <v>0</v>
      </c>
      <c r="F10" s="12" t="s">
        <v>139</v>
      </c>
      <c r="G10" s="14">
        <v>46283</v>
      </c>
      <c r="H10" s="12" t="s">
        <v>409</v>
      </c>
      <c r="I10" s="12" t="s">
        <v>416</v>
      </c>
      <c r="J10" s="9"/>
    </row>
  </sheetData>
  <phoneticPr fontId="6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4472C4"/>
  </sheetPr>
  <dimension ref="A2:Z10"/>
  <sheetViews>
    <sheetView showGridLines="0" workbookViewId="0"/>
  </sheetViews>
  <sheetFormatPr baseColWidth="10" defaultColWidth="8.83203125" defaultRowHeight="14"/>
  <cols>
    <col min="1" max="6" width="28" customWidth="1"/>
  </cols>
  <sheetData>
    <row r="2" spans="1:26" ht="19">
      <c r="A2" s="1" t="s">
        <v>417</v>
      </c>
      <c r="B2" s="40"/>
      <c r="C2" s="40"/>
      <c r="D2" s="40"/>
      <c r="E2" s="40"/>
      <c r="F2" s="40"/>
    </row>
    <row r="3" spans="1:26">
      <c r="A3" s="2" t="s">
        <v>418</v>
      </c>
      <c r="B3" s="5"/>
      <c r="C3" s="5"/>
      <c r="D3" s="5"/>
      <c r="E3" s="5"/>
      <c r="F3" s="5"/>
    </row>
    <row r="4" spans="1:26">
      <c r="A4" s="5"/>
      <c r="B4" s="5"/>
      <c r="C4" s="5"/>
      <c r="D4" s="5"/>
      <c r="E4" s="5"/>
      <c r="F4" s="5"/>
    </row>
    <row r="5" spans="1:26">
      <c r="A5" s="5"/>
      <c r="B5" s="5"/>
      <c r="C5" s="5"/>
      <c r="D5" s="5"/>
      <c r="E5" s="5"/>
      <c r="F5" s="5"/>
    </row>
    <row r="6" spans="1:26" ht="34" customHeight="1">
      <c r="A6" s="3" t="s">
        <v>115</v>
      </c>
      <c r="B6" s="10" t="s">
        <v>41</v>
      </c>
      <c r="C6" s="10" t="s">
        <v>128</v>
      </c>
      <c r="D6" s="10" t="s">
        <v>133</v>
      </c>
      <c r="E6" s="10" t="s">
        <v>139</v>
      </c>
      <c r="F6" s="4" t="s">
        <v>26</v>
      </c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</row>
    <row r="7" spans="1:26" ht="40" customHeight="1">
      <c r="A7" s="6" t="s">
        <v>41</v>
      </c>
      <c r="B7" s="27">
        <v>1</v>
      </c>
      <c r="C7" s="27">
        <v>0.62</v>
      </c>
      <c r="D7" s="27">
        <v>0.05</v>
      </c>
      <c r="E7" s="27">
        <v>0</v>
      </c>
      <c r="F7" s="7" t="s">
        <v>419</v>
      </c>
    </row>
    <row r="8" spans="1:26" ht="40" customHeight="1">
      <c r="A8" s="6" t="s">
        <v>128</v>
      </c>
      <c r="B8" s="27">
        <v>0.62</v>
      </c>
      <c r="C8" s="27">
        <v>1</v>
      </c>
      <c r="D8" s="27">
        <v>0.1</v>
      </c>
      <c r="E8" s="27">
        <v>0</v>
      </c>
      <c r="F8" s="7" t="s">
        <v>420</v>
      </c>
    </row>
    <row r="9" spans="1:26" ht="40" customHeight="1">
      <c r="A9" s="6" t="s">
        <v>133</v>
      </c>
      <c r="B9" s="27">
        <v>0.05</v>
      </c>
      <c r="C9" s="27">
        <v>0.1</v>
      </c>
      <c r="D9" s="27">
        <v>1</v>
      </c>
      <c r="E9" s="27">
        <v>0</v>
      </c>
      <c r="F9" s="7" t="s">
        <v>421</v>
      </c>
    </row>
    <row r="10" spans="1:26" ht="40" customHeight="1">
      <c r="A10" s="8" t="s">
        <v>139</v>
      </c>
      <c r="B10" s="28">
        <v>0</v>
      </c>
      <c r="C10" s="28">
        <v>0</v>
      </c>
      <c r="D10" s="28">
        <v>0</v>
      </c>
      <c r="E10" s="28">
        <v>1</v>
      </c>
      <c r="F10" s="9" t="s">
        <v>422</v>
      </c>
    </row>
  </sheetData>
  <phoneticPr fontId="6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4472C4"/>
  </sheetPr>
  <dimension ref="A2:Z10"/>
  <sheetViews>
    <sheetView showGridLines="0" workbookViewId="0"/>
  </sheetViews>
  <sheetFormatPr baseColWidth="10" defaultColWidth="8.83203125" defaultRowHeight="14"/>
  <cols>
    <col min="1" max="2" width="29" customWidth="1"/>
    <col min="3" max="6" width="22" customWidth="1"/>
    <col min="7" max="11" width="39" customWidth="1"/>
  </cols>
  <sheetData>
    <row r="2" spans="1:26" ht="19">
      <c r="A2" s="1" t="s">
        <v>423</v>
      </c>
      <c r="B2" s="40"/>
      <c r="C2" s="40"/>
      <c r="D2" s="40"/>
      <c r="E2" s="40"/>
      <c r="F2" s="40"/>
      <c r="G2" s="40"/>
      <c r="H2" s="40"/>
      <c r="I2" s="40"/>
      <c r="J2" s="40"/>
      <c r="K2" s="40"/>
    </row>
    <row r="3" spans="1:26">
      <c r="A3" s="2" t="s">
        <v>424</v>
      </c>
      <c r="B3" s="5"/>
      <c r="C3" s="5"/>
      <c r="D3" s="5"/>
      <c r="E3" s="5"/>
      <c r="F3" s="5"/>
      <c r="G3" s="5"/>
      <c r="H3" s="5"/>
      <c r="I3" s="5"/>
      <c r="J3" s="5"/>
      <c r="K3" s="5"/>
    </row>
    <row r="4" spans="1:26">
      <c r="A4" s="5"/>
      <c r="B4" s="5"/>
      <c r="C4" s="5"/>
      <c r="D4" s="5"/>
      <c r="E4" s="5"/>
      <c r="F4" s="5"/>
      <c r="G4" s="5"/>
      <c r="H4" s="5"/>
      <c r="I4" s="5"/>
      <c r="J4" s="5"/>
      <c r="K4" s="5"/>
    </row>
    <row r="5" spans="1:26">
      <c r="A5" s="5"/>
      <c r="B5" s="5"/>
      <c r="C5" s="5"/>
      <c r="D5" s="5"/>
      <c r="E5" s="5"/>
      <c r="F5" s="5"/>
      <c r="G5" s="5"/>
      <c r="H5" s="5"/>
      <c r="I5" s="5"/>
      <c r="J5" s="5"/>
      <c r="K5" s="5"/>
    </row>
    <row r="6" spans="1:26" ht="34" customHeight="1">
      <c r="A6" s="3" t="s">
        <v>425</v>
      </c>
      <c r="B6" s="10" t="s">
        <v>426</v>
      </c>
      <c r="C6" s="10" t="s">
        <v>427</v>
      </c>
      <c r="D6" s="10" t="s">
        <v>428</v>
      </c>
      <c r="E6" s="10" t="s">
        <v>429</v>
      </c>
      <c r="F6" s="10" t="s">
        <v>430</v>
      </c>
      <c r="G6" s="10" t="s">
        <v>431</v>
      </c>
      <c r="H6" s="10" t="s">
        <v>432</v>
      </c>
      <c r="I6" s="10" t="s">
        <v>433</v>
      </c>
      <c r="J6" s="10" t="s">
        <v>26</v>
      </c>
      <c r="K6" s="4" t="s">
        <v>238</v>
      </c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</row>
    <row r="7" spans="1:26" ht="40" customHeight="1">
      <c r="A7" s="6" t="s">
        <v>434</v>
      </c>
      <c r="B7" s="11" t="s">
        <v>435</v>
      </c>
      <c r="C7" s="15">
        <v>-0.02</v>
      </c>
      <c r="D7" s="15">
        <v>-0.01</v>
      </c>
      <c r="E7" s="15">
        <v>1E-3</v>
      </c>
      <c r="F7" s="15">
        <v>0</v>
      </c>
      <c r="G7" s="11" t="s">
        <v>268</v>
      </c>
      <c r="H7" s="15">
        <v>0</v>
      </c>
      <c r="I7" s="11" t="s">
        <v>376</v>
      </c>
      <c r="J7" s="11" t="s">
        <v>436</v>
      </c>
      <c r="K7" s="7" t="s">
        <v>437</v>
      </c>
    </row>
    <row r="8" spans="1:26" ht="40" customHeight="1">
      <c r="A8" s="6" t="s">
        <v>438</v>
      </c>
      <c r="B8" s="11" t="s">
        <v>439</v>
      </c>
      <c r="C8" s="15">
        <v>7.0000000000000007E-2</v>
      </c>
      <c r="D8" s="15">
        <v>0.02</v>
      </c>
      <c r="E8" s="15">
        <v>0</v>
      </c>
      <c r="F8" s="15">
        <v>0</v>
      </c>
      <c r="G8" s="11" t="s">
        <v>268</v>
      </c>
      <c r="H8" s="15">
        <v>0</v>
      </c>
      <c r="I8" s="11" t="s">
        <v>376</v>
      </c>
      <c r="J8" s="11" t="s">
        <v>440</v>
      </c>
      <c r="K8" s="7" t="s">
        <v>441</v>
      </c>
    </row>
    <row r="9" spans="1:26" ht="40" customHeight="1">
      <c r="A9" s="6" t="s">
        <v>442</v>
      </c>
      <c r="B9" s="11" t="s">
        <v>443</v>
      </c>
      <c r="C9" s="15">
        <v>-0.1</v>
      </c>
      <c r="D9" s="15">
        <v>-0.04</v>
      </c>
      <c r="E9" s="15">
        <v>2E-3</v>
      </c>
      <c r="F9" s="15">
        <v>0</v>
      </c>
      <c r="G9" s="11" t="s">
        <v>444</v>
      </c>
      <c r="H9" s="15">
        <v>-0.05</v>
      </c>
      <c r="I9" s="11" t="s">
        <v>380</v>
      </c>
      <c r="J9" s="11" t="s">
        <v>445</v>
      </c>
      <c r="K9" s="7" t="s">
        <v>446</v>
      </c>
    </row>
    <row r="10" spans="1:26" ht="40" customHeight="1">
      <c r="A10" s="8" t="s">
        <v>447</v>
      </c>
      <c r="B10" s="12" t="s">
        <v>448</v>
      </c>
      <c r="C10" s="22">
        <v>-0.12</v>
      </c>
      <c r="D10" s="22">
        <v>-0.03</v>
      </c>
      <c r="E10" s="22">
        <v>1E-3</v>
      </c>
      <c r="F10" s="22">
        <v>0</v>
      </c>
      <c r="G10" s="12" t="s">
        <v>449</v>
      </c>
      <c r="H10" s="22">
        <v>0</v>
      </c>
      <c r="I10" s="12" t="s">
        <v>380</v>
      </c>
      <c r="J10" s="12" t="s">
        <v>450</v>
      </c>
      <c r="K10" s="9" t="s">
        <v>451</v>
      </c>
    </row>
  </sheetData>
  <phoneticPr fontId="6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4472C4"/>
  </sheetPr>
  <dimension ref="A2:Z16"/>
  <sheetViews>
    <sheetView showGridLines="0" workbookViewId="0"/>
  </sheetViews>
  <sheetFormatPr baseColWidth="10" defaultColWidth="8.83203125" defaultRowHeight="14"/>
  <cols>
    <col min="1" max="2" width="26" customWidth="1"/>
    <col min="3" max="4" width="34" customWidth="1"/>
    <col min="5" max="7" width="25" customWidth="1"/>
    <col min="8" max="9" width="49" customWidth="1"/>
  </cols>
  <sheetData>
    <row r="2" spans="1:26" ht="19">
      <c r="A2" s="1" t="s">
        <v>452</v>
      </c>
      <c r="B2" s="40"/>
      <c r="C2" s="40"/>
      <c r="D2" s="40"/>
      <c r="E2" s="40"/>
      <c r="F2" s="40"/>
      <c r="G2" s="40"/>
      <c r="H2" s="40"/>
      <c r="I2" s="40"/>
    </row>
    <row r="3" spans="1:26">
      <c r="A3" s="2" t="s">
        <v>453</v>
      </c>
      <c r="B3" s="5"/>
      <c r="C3" s="5"/>
      <c r="D3" s="5"/>
      <c r="E3" s="5"/>
      <c r="F3" s="5"/>
      <c r="G3" s="5"/>
      <c r="H3" s="5"/>
      <c r="I3" s="5"/>
    </row>
    <row r="4" spans="1:26">
      <c r="A4" s="5"/>
      <c r="B4" s="5"/>
      <c r="C4" s="5"/>
      <c r="D4" s="5"/>
      <c r="E4" s="5"/>
      <c r="F4" s="5"/>
      <c r="G4" s="5"/>
      <c r="H4" s="5"/>
      <c r="I4" s="5"/>
    </row>
    <row r="5" spans="1:26">
      <c r="A5" s="5"/>
      <c r="B5" s="5"/>
      <c r="C5" s="5"/>
      <c r="D5" s="5"/>
      <c r="E5" s="5"/>
      <c r="F5" s="5"/>
      <c r="G5" s="5"/>
      <c r="H5" s="5"/>
      <c r="I5" s="5"/>
    </row>
    <row r="6" spans="1:26" ht="34" customHeight="1">
      <c r="A6" s="3" t="s">
        <v>202</v>
      </c>
      <c r="B6" s="10" t="s">
        <v>454</v>
      </c>
      <c r="C6" s="10" t="s">
        <v>455</v>
      </c>
      <c r="D6" s="10" t="s">
        <v>205</v>
      </c>
      <c r="E6" s="10" t="s">
        <v>456</v>
      </c>
      <c r="F6" s="10" t="s">
        <v>21</v>
      </c>
      <c r="G6" s="10" t="s">
        <v>457</v>
      </c>
      <c r="H6" s="10" t="s">
        <v>26</v>
      </c>
      <c r="I6" s="4" t="s">
        <v>238</v>
      </c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</row>
    <row r="7" spans="1:26" ht="40" customHeight="1">
      <c r="A7" s="6" t="s">
        <v>458</v>
      </c>
      <c r="B7" s="13">
        <v>46286</v>
      </c>
      <c r="C7" s="19" t="b">
        <v>1</v>
      </c>
      <c r="D7" s="11" t="s">
        <v>459</v>
      </c>
      <c r="E7" s="23">
        <v>3000</v>
      </c>
      <c r="F7" s="11" t="s">
        <v>80</v>
      </c>
      <c r="G7" s="19" t="b">
        <v>1</v>
      </c>
      <c r="H7" s="11" t="s">
        <v>460</v>
      </c>
      <c r="I7" s="7" t="s">
        <v>461</v>
      </c>
    </row>
    <row r="8" spans="1:26" ht="40" customHeight="1">
      <c r="A8" s="6" t="s">
        <v>462</v>
      </c>
      <c r="B8" s="13">
        <v>46286</v>
      </c>
      <c r="C8" s="19" t="b">
        <v>1</v>
      </c>
      <c r="D8" s="11" t="s">
        <v>463</v>
      </c>
      <c r="E8" s="23">
        <v>8960</v>
      </c>
      <c r="F8" s="11" t="s">
        <v>35</v>
      </c>
      <c r="G8" s="19" t="b">
        <v>1</v>
      </c>
      <c r="H8" s="11" t="s">
        <v>464</v>
      </c>
      <c r="I8" s="7"/>
    </row>
    <row r="9" spans="1:26" ht="40" customHeight="1">
      <c r="A9" s="6" t="s">
        <v>465</v>
      </c>
      <c r="B9" s="13">
        <v>46286</v>
      </c>
      <c r="C9" s="19" t="b">
        <v>1</v>
      </c>
      <c r="D9" s="11" t="s">
        <v>466</v>
      </c>
      <c r="E9" s="23">
        <v>-12</v>
      </c>
      <c r="F9" s="11" t="s">
        <v>35</v>
      </c>
      <c r="G9" s="19" t="b">
        <v>1</v>
      </c>
      <c r="H9" s="11" t="s">
        <v>467</v>
      </c>
      <c r="I9" s="7"/>
    </row>
    <row r="10" spans="1:26" ht="40" customHeight="1">
      <c r="A10" s="6" t="s">
        <v>468</v>
      </c>
      <c r="B10" s="13">
        <v>46287</v>
      </c>
      <c r="C10" s="19" t="b">
        <v>1</v>
      </c>
      <c r="D10" s="11" t="s">
        <v>469</v>
      </c>
      <c r="E10" s="23">
        <v>2</v>
      </c>
      <c r="F10" s="11" t="s">
        <v>470</v>
      </c>
      <c r="G10" s="19" t="b">
        <v>1</v>
      </c>
      <c r="H10" s="11" t="s">
        <v>471</v>
      </c>
      <c r="I10" s="7"/>
    </row>
    <row r="11" spans="1:26" ht="40" customHeight="1">
      <c r="A11" s="6" t="s">
        <v>472</v>
      </c>
      <c r="B11" s="13">
        <v>46288</v>
      </c>
      <c r="C11" s="19" t="b">
        <v>1</v>
      </c>
      <c r="D11" s="11" t="s">
        <v>473</v>
      </c>
      <c r="E11" s="23"/>
      <c r="F11" s="11"/>
      <c r="G11" s="19" t="b">
        <v>1</v>
      </c>
      <c r="H11" s="11" t="s">
        <v>474</v>
      </c>
      <c r="I11" s="7" t="s">
        <v>475</v>
      </c>
    </row>
    <row r="12" spans="1:26" ht="40" customHeight="1">
      <c r="A12" s="6" t="s">
        <v>476</v>
      </c>
      <c r="B12" s="13">
        <v>46289</v>
      </c>
      <c r="C12" s="19" t="b">
        <v>1</v>
      </c>
      <c r="D12" s="11" t="s">
        <v>477</v>
      </c>
      <c r="E12" s="23">
        <v>-0.1</v>
      </c>
      <c r="F12" s="11" t="s">
        <v>85</v>
      </c>
      <c r="G12" s="19" t="b">
        <v>1</v>
      </c>
      <c r="H12" s="11" t="s">
        <v>478</v>
      </c>
      <c r="I12" s="7" t="s">
        <v>479</v>
      </c>
    </row>
    <row r="13" spans="1:26" ht="40" customHeight="1">
      <c r="A13" s="6" t="s">
        <v>480</v>
      </c>
      <c r="B13" s="13">
        <v>46290</v>
      </c>
      <c r="C13" s="19" t="b">
        <v>1</v>
      </c>
      <c r="D13" s="11" t="s">
        <v>481</v>
      </c>
      <c r="E13" s="23">
        <v>2400</v>
      </c>
      <c r="F13" s="11" t="s">
        <v>35</v>
      </c>
      <c r="G13" s="19" t="b">
        <v>1</v>
      </c>
      <c r="H13" s="11" t="s">
        <v>482</v>
      </c>
      <c r="I13" s="7"/>
    </row>
    <row r="14" spans="1:26" ht="40" customHeight="1">
      <c r="A14" s="6" t="s">
        <v>483</v>
      </c>
      <c r="B14" s="13">
        <v>46293</v>
      </c>
      <c r="C14" s="19" t="b">
        <v>1</v>
      </c>
      <c r="D14" s="11" t="s">
        <v>469</v>
      </c>
      <c r="E14" s="23">
        <v>6</v>
      </c>
      <c r="F14" s="11" t="s">
        <v>470</v>
      </c>
      <c r="G14" s="19" t="b">
        <v>1</v>
      </c>
      <c r="H14" s="11" t="s">
        <v>484</v>
      </c>
      <c r="I14" s="7"/>
    </row>
    <row r="15" spans="1:26" ht="40" customHeight="1">
      <c r="A15" s="6" t="s">
        <v>485</v>
      </c>
      <c r="B15" s="13">
        <v>46295</v>
      </c>
      <c r="C15" s="19" t="b">
        <v>1</v>
      </c>
      <c r="D15" s="11" t="s">
        <v>486</v>
      </c>
      <c r="E15" s="23">
        <v>0.1</v>
      </c>
      <c r="F15" s="11" t="s">
        <v>487</v>
      </c>
      <c r="G15" s="19" t="b">
        <v>1</v>
      </c>
      <c r="H15" s="11" t="s">
        <v>488</v>
      </c>
      <c r="I15" s="7" t="s">
        <v>489</v>
      </c>
    </row>
    <row r="16" spans="1:26" ht="40" customHeight="1">
      <c r="A16" s="8" t="s">
        <v>490</v>
      </c>
      <c r="B16" s="14">
        <v>46304</v>
      </c>
      <c r="C16" s="20" t="b">
        <v>1</v>
      </c>
      <c r="D16" s="12" t="s">
        <v>491</v>
      </c>
      <c r="E16" s="24">
        <v>10</v>
      </c>
      <c r="F16" s="12" t="s">
        <v>470</v>
      </c>
      <c r="G16" s="20" t="b">
        <v>1</v>
      </c>
      <c r="H16" s="12" t="s">
        <v>492</v>
      </c>
      <c r="I16" s="9" t="s">
        <v>493</v>
      </c>
    </row>
  </sheetData>
  <phoneticPr fontId="6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4472C4"/>
  </sheetPr>
  <dimension ref="A2:Z16"/>
  <sheetViews>
    <sheetView showGridLines="0" workbookViewId="0"/>
  </sheetViews>
  <sheetFormatPr baseColWidth="10" defaultColWidth="8.83203125" defaultRowHeight="14"/>
  <cols>
    <col min="1" max="3" width="30" customWidth="1"/>
    <col min="4" max="7" width="44" customWidth="1"/>
    <col min="8" max="11" width="47" customWidth="1"/>
  </cols>
  <sheetData>
    <row r="2" spans="1:26" ht="19">
      <c r="A2" s="1" t="s">
        <v>494</v>
      </c>
      <c r="B2" s="40"/>
      <c r="C2" s="40"/>
      <c r="D2" s="40"/>
      <c r="E2" s="40"/>
      <c r="F2" s="40"/>
      <c r="G2" s="40"/>
      <c r="H2" s="40"/>
      <c r="I2" s="40"/>
      <c r="J2" s="40"/>
      <c r="K2" s="40"/>
    </row>
    <row r="3" spans="1:26">
      <c r="A3" s="2" t="s">
        <v>495</v>
      </c>
      <c r="B3" s="5"/>
      <c r="C3" s="5"/>
      <c r="D3" s="5"/>
      <c r="E3" s="5"/>
      <c r="F3" s="5"/>
      <c r="G3" s="5"/>
      <c r="H3" s="5"/>
      <c r="I3" s="5"/>
      <c r="J3" s="5"/>
      <c r="K3" s="5"/>
    </row>
    <row r="4" spans="1:26">
      <c r="A4" s="5"/>
      <c r="B4" s="5"/>
      <c r="C4" s="5"/>
      <c r="D4" s="5"/>
      <c r="E4" s="5"/>
      <c r="F4" s="5"/>
      <c r="G4" s="5"/>
      <c r="H4" s="5"/>
      <c r="I4" s="5"/>
      <c r="J4" s="5"/>
      <c r="K4" s="5"/>
    </row>
    <row r="5" spans="1:26">
      <c r="A5" s="5"/>
      <c r="B5" s="5"/>
      <c r="C5" s="5"/>
      <c r="D5" s="5"/>
      <c r="E5" s="5"/>
      <c r="F5" s="5"/>
      <c r="G5" s="5"/>
      <c r="H5" s="5"/>
      <c r="I5" s="5"/>
      <c r="J5" s="5"/>
      <c r="K5" s="5"/>
    </row>
    <row r="6" spans="1:26" ht="34" customHeight="1">
      <c r="A6" s="3" t="s">
        <v>496</v>
      </c>
      <c r="B6" s="10" t="s">
        <v>497</v>
      </c>
      <c r="C6" s="10" t="s">
        <v>498</v>
      </c>
      <c r="D6" s="10" t="s">
        <v>499</v>
      </c>
      <c r="E6" s="10" t="s">
        <v>500</v>
      </c>
      <c r="F6" s="10" t="s">
        <v>501</v>
      </c>
      <c r="G6" s="10" t="s">
        <v>502</v>
      </c>
      <c r="H6" s="10" t="s">
        <v>237</v>
      </c>
      <c r="I6" s="10" t="s">
        <v>26</v>
      </c>
      <c r="J6" s="10" t="s">
        <v>348</v>
      </c>
      <c r="K6" s="4" t="s">
        <v>238</v>
      </c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</row>
    <row r="7" spans="1:26" ht="40" customHeight="1">
      <c r="A7" s="6" t="s">
        <v>503</v>
      </c>
      <c r="B7" s="11" t="s">
        <v>504</v>
      </c>
      <c r="C7" s="11" t="s">
        <v>107</v>
      </c>
      <c r="D7" s="11" t="s">
        <v>505</v>
      </c>
      <c r="E7" s="11" t="s">
        <v>31</v>
      </c>
      <c r="F7" s="11" t="s">
        <v>506</v>
      </c>
      <c r="G7" s="11" t="s">
        <v>507</v>
      </c>
      <c r="H7" s="11" t="s">
        <v>304</v>
      </c>
      <c r="I7" s="11" t="s">
        <v>508</v>
      </c>
      <c r="J7" s="11" t="s">
        <v>509</v>
      </c>
      <c r="K7" s="7" t="s">
        <v>510</v>
      </c>
    </row>
    <row r="8" spans="1:26" ht="40" customHeight="1">
      <c r="A8" s="6" t="s">
        <v>511</v>
      </c>
      <c r="B8" s="11" t="s">
        <v>512</v>
      </c>
      <c r="C8" s="11" t="s">
        <v>161</v>
      </c>
      <c r="D8" s="11" t="s">
        <v>513</v>
      </c>
      <c r="E8" s="11" t="s">
        <v>31</v>
      </c>
      <c r="F8" s="11" t="s">
        <v>514</v>
      </c>
      <c r="G8" s="11" t="s">
        <v>515</v>
      </c>
      <c r="H8" s="11" t="s">
        <v>181</v>
      </c>
      <c r="I8" s="11" t="s">
        <v>516</v>
      </c>
      <c r="J8" s="11" t="s">
        <v>509</v>
      </c>
      <c r="K8" s="7" t="s">
        <v>517</v>
      </c>
    </row>
    <row r="9" spans="1:26" ht="40" customHeight="1">
      <c r="A9" s="6" t="s">
        <v>518</v>
      </c>
      <c r="B9" s="11" t="s">
        <v>519</v>
      </c>
      <c r="C9" s="11" t="s">
        <v>164</v>
      </c>
      <c r="D9" s="11" t="s">
        <v>520</v>
      </c>
      <c r="E9" s="11" t="s">
        <v>31</v>
      </c>
      <c r="F9" s="11" t="s">
        <v>521</v>
      </c>
      <c r="G9" s="11" t="s">
        <v>522</v>
      </c>
      <c r="H9" s="11" t="s">
        <v>110</v>
      </c>
      <c r="I9" s="11" t="s">
        <v>523</v>
      </c>
      <c r="J9" s="11" t="s">
        <v>509</v>
      </c>
      <c r="K9" s="7" t="s">
        <v>524</v>
      </c>
    </row>
    <row r="10" spans="1:26" ht="40" customHeight="1">
      <c r="A10" s="6" t="s">
        <v>525</v>
      </c>
      <c r="B10" s="11" t="s">
        <v>526</v>
      </c>
      <c r="C10" s="11" t="s">
        <v>275</v>
      </c>
      <c r="D10" s="11" t="s">
        <v>278</v>
      </c>
      <c r="E10" s="11" t="s">
        <v>31</v>
      </c>
      <c r="F10" s="11" t="s">
        <v>527</v>
      </c>
      <c r="G10" s="11" t="s">
        <v>528</v>
      </c>
      <c r="H10" s="11" t="s">
        <v>277</v>
      </c>
      <c r="I10" s="11" t="s">
        <v>529</v>
      </c>
      <c r="J10" s="11" t="s">
        <v>509</v>
      </c>
      <c r="K10" s="7"/>
    </row>
    <row r="11" spans="1:26" ht="40" customHeight="1">
      <c r="A11" s="6" t="s">
        <v>530</v>
      </c>
      <c r="B11" s="11" t="s">
        <v>531</v>
      </c>
      <c r="C11" s="11" t="s">
        <v>532</v>
      </c>
      <c r="D11" s="11" t="s">
        <v>533</v>
      </c>
      <c r="E11" s="11" t="s">
        <v>31</v>
      </c>
      <c r="F11" s="11" t="s">
        <v>366</v>
      </c>
      <c r="G11" s="11" t="s">
        <v>534</v>
      </c>
      <c r="H11" s="11" t="s">
        <v>311</v>
      </c>
      <c r="I11" s="11" t="s">
        <v>535</v>
      </c>
      <c r="J11" s="11" t="s">
        <v>509</v>
      </c>
      <c r="K11" s="7"/>
    </row>
    <row r="12" spans="1:26" ht="40" customHeight="1">
      <c r="A12" s="6" t="s">
        <v>536</v>
      </c>
      <c r="B12" s="11" t="s">
        <v>537</v>
      </c>
      <c r="C12" s="11" t="s">
        <v>226</v>
      </c>
      <c r="D12" s="11" t="s">
        <v>538</v>
      </c>
      <c r="E12" s="11" t="s">
        <v>31</v>
      </c>
      <c r="F12" s="11" t="s">
        <v>539</v>
      </c>
      <c r="G12" s="11" t="s">
        <v>540</v>
      </c>
      <c r="H12" s="11" t="s">
        <v>110</v>
      </c>
      <c r="I12" s="11" t="s">
        <v>541</v>
      </c>
      <c r="J12" s="11" t="s">
        <v>509</v>
      </c>
      <c r="K12" s="7" t="s">
        <v>542</v>
      </c>
    </row>
    <row r="13" spans="1:26" ht="40" customHeight="1">
      <c r="A13" s="6" t="s">
        <v>543</v>
      </c>
      <c r="B13" s="11" t="s">
        <v>544</v>
      </c>
      <c r="C13" s="11" t="s">
        <v>41</v>
      </c>
      <c r="D13" s="11" t="s">
        <v>545</v>
      </c>
      <c r="E13" s="11" t="s">
        <v>31</v>
      </c>
      <c r="F13" s="11" t="s">
        <v>546</v>
      </c>
      <c r="G13" s="11" t="s">
        <v>547</v>
      </c>
      <c r="H13" s="11" t="s">
        <v>308</v>
      </c>
      <c r="I13" s="11" t="s">
        <v>548</v>
      </c>
      <c r="J13" s="11" t="s">
        <v>509</v>
      </c>
      <c r="K13" s="7" t="s">
        <v>549</v>
      </c>
    </row>
    <row r="14" spans="1:26" ht="40" customHeight="1">
      <c r="A14" s="6" t="s">
        <v>550</v>
      </c>
      <c r="B14" s="11" t="s">
        <v>16</v>
      </c>
      <c r="C14" s="11" t="s">
        <v>84</v>
      </c>
      <c r="D14" s="11" t="s">
        <v>551</v>
      </c>
      <c r="E14" s="11" t="s">
        <v>552</v>
      </c>
      <c r="F14" s="11" t="s">
        <v>553</v>
      </c>
      <c r="G14" s="11" t="s">
        <v>554</v>
      </c>
      <c r="H14" s="11" t="s">
        <v>29</v>
      </c>
      <c r="I14" s="11" t="s">
        <v>555</v>
      </c>
      <c r="J14" s="11" t="s">
        <v>509</v>
      </c>
      <c r="K14" s="7" t="s">
        <v>556</v>
      </c>
    </row>
    <row r="15" spans="1:26" ht="40" customHeight="1">
      <c r="A15" s="6" t="s">
        <v>557</v>
      </c>
      <c r="B15" s="11" t="s">
        <v>558</v>
      </c>
      <c r="C15" s="11" t="s">
        <v>248</v>
      </c>
      <c r="D15" s="11" t="s">
        <v>559</v>
      </c>
      <c r="E15" s="11" t="s">
        <v>552</v>
      </c>
      <c r="F15" s="11" t="s">
        <v>560</v>
      </c>
      <c r="G15" s="11" t="s">
        <v>561</v>
      </c>
      <c r="H15" s="11" t="s">
        <v>29</v>
      </c>
      <c r="I15" s="11" t="s">
        <v>562</v>
      </c>
      <c r="J15" s="11" t="s">
        <v>509</v>
      </c>
      <c r="K15" s="7" t="s">
        <v>563</v>
      </c>
    </row>
    <row r="16" spans="1:26" ht="40" customHeight="1">
      <c r="A16" s="8" t="s">
        <v>564</v>
      </c>
      <c r="B16" s="12" t="s">
        <v>16</v>
      </c>
      <c r="C16" s="12" t="s">
        <v>94</v>
      </c>
      <c r="D16" s="12" t="s">
        <v>565</v>
      </c>
      <c r="E16" s="12" t="s">
        <v>552</v>
      </c>
      <c r="F16" s="12" t="s">
        <v>566</v>
      </c>
      <c r="G16" s="12" t="s">
        <v>567</v>
      </c>
      <c r="H16" s="12" t="s">
        <v>29</v>
      </c>
      <c r="I16" s="12" t="s">
        <v>568</v>
      </c>
      <c r="J16" s="12" t="s">
        <v>509</v>
      </c>
      <c r="K16" s="9" t="s">
        <v>569</v>
      </c>
    </row>
  </sheetData>
  <phoneticPr fontId="6" type="noConversion"/>
  <conditionalFormatting sqref="A7:K16">
    <cfRule type="containsText" dxfId="0" priority="1" operator="containsText" text="HARD"/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4472C4"/>
  </sheetPr>
  <dimension ref="A2:Z14"/>
  <sheetViews>
    <sheetView showGridLines="0" workbookViewId="0"/>
  </sheetViews>
  <sheetFormatPr baseColWidth="10" defaultColWidth="8.83203125" defaultRowHeight="14"/>
  <cols>
    <col min="1" max="2" width="31" customWidth="1"/>
    <col min="3" max="3" width="32" customWidth="1"/>
    <col min="4" max="4" width="61" customWidth="1"/>
    <col min="5" max="8" width="32" customWidth="1"/>
  </cols>
  <sheetData>
    <row r="2" spans="1:26" ht="19">
      <c r="A2" s="1" t="s">
        <v>570</v>
      </c>
      <c r="B2" s="40"/>
      <c r="C2" s="40"/>
      <c r="D2" s="40"/>
      <c r="E2" s="40"/>
      <c r="F2" s="40"/>
      <c r="G2" s="40"/>
      <c r="H2" s="40"/>
    </row>
    <row r="3" spans="1:26">
      <c r="A3" s="2" t="s">
        <v>571</v>
      </c>
      <c r="B3" s="5"/>
      <c r="C3" s="5"/>
      <c r="D3" s="5"/>
      <c r="E3" s="5"/>
      <c r="F3" s="5"/>
      <c r="G3" s="5"/>
      <c r="H3" s="5"/>
    </row>
    <row r="4" spans="1:26">
      <c r="A4" s="5"/>
      <c r="B4" s="5"/>
      <c r="C4" s="5"/>
      <c r="D4" s="5"/>
      <c r="E4" s="5"/>
      <c r="F4" s="5"/>
      <c r="G4" s="5"/>
      <c r="H4" s="5"/>
    </row>
    <row r="5" spans="1:26">
      <c r="A5" s="5"/>
      <c r="B5" s="5"/>
      <c r="C5" s="5"/>
      <c r="D5" s="5"/>
      <c r="E5" s="5"/>
      <c r="F5" s="5"/>
      <c r="G5" s="5"/>
      <c r="H5" s="5"/>
    </row>
    <row r="6" spans="1:26" ht="34" customHeight="1">
      <c r="A6" s="3" t="s">
        <v>572</v>
      </c>
      <c r="B6" s="10" t="s">
        <v>573</v>
      </c>
      <c r="C6" s="10" t="s">
        <v>574</v>
      </c>
      <c r="D6" s="10" t="s">
        <v>575</v>
      </c>
      <c r="E6" s="10" t="s">
        <v>576</v>
      </c>
      <c r="F6" s="10" t="s">
        <v>577</v>
      </c>
      <c r="G6" s="10" t="s">
        <v>578</v>
      </c>
      <c r="H6" s="4" t="s">
        <v>238</v>
      </c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</row>
    <row r="7" spans="1:26">
      <c r="A7" s="34" t="s">
        <v>579</v>
      </c>
      <c r="B7" s="35" t="s">
        <v>16</v>
      </c>
      <c r="C7" s="35" t="s">
        <v>19</v>
      </c>
      <c r="D7" s="35" t="s">
        <v>580</v>
      </c>
      <c r="E7" s="35">
        <v>5</v>
      </c>
      <c r="F7" s="35" t="s">
        <v>581</v>
      </c>
      <c r="G7" s="35" t="s">
        <v>582</v>
      </c>
      <c r="H7" s="36"/>
    </row>
    <row r="8" spans="1:26">
      <c r="A8" s="34" t="s">
        <v>583</v>
      </c>
      <c r="B8" s="35" t="s">
        <v>504</v>
      </c>
      <c r="C8" s="35" t="s">
        <v>584</v>
      </c>
      <c r="D8" s="35" t="s">
        <v>585</v>
      </c>
      <c r="E8" s="35">
        <v>4</v>
      </c>
      <c r="F8" s="35" t="s">
        <v>586</v>
      </c>
      <c r="G8" s="35" t="s">
        <v>587</v>
      </c>
      <c r="H8" s="36" t="s">
        <v>588</v>
      </c>
    </row>
    <row r="9" spans="1:26">
      <c r="A9" s="34" t="s">
        <v>589</v>
      </c>
      <c r="B9" s="35" t="s">
        <v>590</v>
      </c>
      <c r="C9" s="35" t="s">
        <v>591</v>
      </c>
      <c r="D9" s="35" t="s">
        <v>592</v>
      </c>
      <c r="E9" s="35">
        <v>5</v>
      </c>
      <c r="F9" s="35" t="s">
        <v>593</v>
      </c>
      <c r="G9" s="35" t="s">
        <v>594</v>
      </c>
      <c r="H9" s="36" t="s">
        <v>595</v>
      </c>
    </row>
    <row r="10" spans="1:26">
      <c r="A10" s="34" t="s">
        <v>596</v>
      </c>
      <c r="B10" s="35" t="s">
        <v>526</v>
      </c>
      <c r="C10" s="35" t="s">
        <v>254</v>
      </c>
      <c r="D10" s="35" t="s">
        <v>597</v>
      </c>
      <c r="E10" s="35">
        <v>5</v>
      </c>
      <c r="F10" s="35" t="s">
        <v>598</v>
      </c>
      <c r="G10" s="35" t="s">
        <v>599</v>
      </c>
      <c r="H10" s="36"/>
    </row>
    <row r="11" spans="1:26">
      <c r="A11" s="34" t="s">
        <v>600</v>
      </c>
      <c r="B11" s="35" t="s">
        <v>600</v>
      </c>
      <c r="C11" s="35" t="s">
        <v>254</v>
      </c>
      <c r="D11" s="35" t="s">
        <v>601</v>
      </c>
      <c r="E11" s="35">
        <v>2</v>
      </c>
      <c r="F11" s="35" t="s">
        <v>602</v>
      </c>
      <c r="G11" s="35" t="s">
        <v>603</v>
      </c>
      <c r="H11" s="36" t="s">
        <v>604</v>
      </c>
    </row>
    <row r="12" spans="1:26">
      <c r="A12" s="34" t="s">
        <v>605</v>
      </c>
      <c r="B12" s="35" t="s">
        <v>606</v>
      </c>
      <c r="C12" s="35" t="s">
        <v>607</v>
      </c>
      <c r="D12" s="35" t="s">
        <v>608</v>
      </c>
      <c r="E12" s="35">
        <v>5</v>
      </c>
      <c r="F12" s="35" t="s">
        <v>609</v>
      </c>
      <c r="G12" s="35" t="s">
        <v>610</v>
      </c>
      <c r="H12" s="36"/>
    </row>
    <row r="13" spans="1:26">
      <c r="A13" s="34" t="s">
        <v>611</v>
      </c>
      <c r="B13" s="35" t="s">
        <v>612</v>
      </c>
      <c r="C13" s="35" t="s">
        <v>613</v>
      </c>
      <c r="D13" s="35" t="s">
        <v>614</v>
      </c>
      <c r="E13" s="35">
        <v>4</v>
      </c>
      <c r="F13" s="35" t="s">
        <v>615</v>
      </c>
      <c r="G13" s="35" t="s">
        <v>616</v>
      </c>
      <c r="H13" s="36"/>
    </row>
    <row r="14" spans="1:26">
      <c r="A14" s="37" t="s">
        <v>617</v>
      </c>
      <c r="B14" s="38" t="s">
        <v>618</v>
      </c>
      <c r="C14" s="38" t="s">
        <v>496</v>
      </c>
      <c r="D14" s="38" t="s">
        <v>619</v>
      </c>
      <c r="E14" s="38">
        <v>5</v>
      </c>
      <c r="F14" s="38" t="s">
        <v>620</v>
      </c>
      <c r="G14" s="38" t="s">
        <v>621</v>
      </c>
      <c r="H14" s="39"/>
    </row>
  </sheetData>
  <phoneticPr fontId="6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4472C4"/>
  </sheetPr>
  <dimension ref="A2:Z17"/>
  <sheetViews>
    <sheetView showGridLines="0" workbookViewId="0"/>
  </sheetViews>
  <sheetFormatPr baseColWidth="10" defaultColWidth="8.83203125" defaultRowHeight="14"/>
  <cols>
    <col min="1" max="2" width="31" customWidth="1"/>
    <col min="3" max="3" width="62" customWidth="1"/>
    <col min="4" max="5" width="24" customWidth="1"/>
    <col min="6" max="8" width="44" customWidth="1"/>
  </cols>
  <sheetData>
    <row r="2" spans="1:26" ht="19">
      <c r="A2" s="1" t="s">
        <v>622</v>
      </c>
      <c r="B2" s="40"/>
      <c r="C2" s="40"/>
      <c r="D2" s="40"/>
      <c r="E2" s="40"/>
      <c r="F2" s="40"/>
      <c r="G2" s="40"/>
      <c r="H2" s="40"/>
    </row>
    <row r="3" spans="1:26">
      <c r="A3" s="2" t="s">
        <v>623</v>
      </c>
      <c r="B3" s="5"/>
      <c r="C3" s="5"/>
      <c r="D3" s="5"/>
      <c r="E3" s="5"/>
      <c r="F3" s="5"/>
      <c r="G3" s="5"/>
      <c r="H3" s="5"/>
    </row>
    <row r="4" spans="1:26">
      <c r="A4" s="5"/>
      <c r="B4" s="5"/>
      <c r="C4" s="5"/>
      <c r="D4" s="5"/>
      <c r="E4" s="5"/>
      <c r="F4" s="5"/>
      <c r="G4" s="5"/>
      <c r="H4" s="5"/>
    </row>
    <row r="5" spans="1:26">
      <c r="A5" s="5"/>
      <c r="B5" s="5"/>
      <c r="C5" s="5"/>
      <c r="D5" s="5"/>
      <c r="E5" s="5"/>
      <c r="F5" s="5"/>
      <c r="G5" s="5"/>
      <c r="H5" s="5"/>
    </row>
    <row r="6" spans="1:26" ht="34" customHeight="1">
      <c r="A6" s="3" t="s">
        <v>624</v>
      </c>
      <c r="B6" s="10" t="s">
        <v>174</v>
      </c>
      <c r="C6" s="10" t="s">
        <v>625</v>
      </c>
      <c r="D6" s="10" t="s">
        <v>626</v>
      </c>
      <c r="E6" s="10" t="s">
        <v>21</v>
      </c>
      <c r="F6" s="10" t="s">
        <v>627</v>
      </c>
      <c r="G6" s="10" t="s">
        <v>628</v>
      </c>
      <c r="H6" s="4" t="s">
        <v>629</v>
      </c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</row>
    <row r="7" spans="1:26" ht="40" customHeight="1">
      <c r="A7" s="6" t="s">
        <v>99</v>
      </c>
      <c r="B7" s="11" t="s">
        <v>107</v>
      </c>
      <c r="C7" s="11" t="s">
        <v>630</v>
      </c>
      <c r="D7" s="11" t="s">
        <v>631</v>
      </c>
      <c r="E7" s="11" t="s">
        <v>35</v>
      </c>
      <c r="F7" s="11" t="s">
        <v>632</v>
      </c>
      <c r="G7" s="11" t="s">
        <v>633</v>
      </c>
      <c r="H7" s="7" t="s">
        <v>634</v>
      </c>
    </row>
    <row r="8" spans="1:26" ht="40" customHeight="1">
      <c r="A8" s="6" t="s">
        <v>635</v>
      </c>
      <c r="B8" s="11" t="s">
        <v>120</v>
      </c>
      <c r="C8" s="11" t="s">
        <v>636</v>
      </c>
      <c r="D8" s="11" t="s">
        <v>631</v>
      </c>
      <c r="E8" s="11" t="s">
        <v>35</v>
      </c>
      <c r="F8" s="11" t="s">
        <v>637</v>
      </c>
      <c r="G8" s="11" t="s">
        <v>638</v>
      </c>
      <c r="H8" s="7" t="s">
        <v>639</v>
      </c>
    </row>
    <row r="9" spans="1:26" ht="40" customHeight="1">
      <c r="A9" s="6" t="s">
        <v>519</v>
      </c>
      <c r="B9" s="11" t="s">
        <v>162</v>
      </c>
      <c r="C9" s="11" t="s">
        <v>640</v>
      </c>
      <c r="D9" s="11" t="s">
        <v>641</v>
      </c>
      <c r="E9" s="11" t="s">
        <v>80</v>
      </c>
      <c r="F9" s="11" t="s">
        <v>637</v>
      </c>
      <c r="G9" s="11" t="s">
        <v>642</v>
      </c>
      <c r="H9" s="7" t="s">
        <v>643</v>
      </c>
    </row>
    <row r="10" spans="1:26" ht="40" customHeight="1">
      <c r="A10" s="6" t="s">
        <v>644</v>
      </c>
      <c r="B10" s="11" t="s">
        <v>210</v>
      </c>
      <c r="C10" s="11" t="s">
        <v>645</v>
      </c>
      <c r="D10" s="11" t="s">
        <v>631</v>
      </c>
      <c r="E10" s="11" t="s">
        <v>35</v>
      </c>
      <c r="F10" s="11" t="s">
        <v>646</v>
      </c>
      <c r="G10" s="11" t="s">
        <v>647</v>
      </c>
      <c r="H10" s="7" t="s">
        <v>648</v>
      </c>
    </row>
    <row r="11" spans="1:26" ht="40" customHeight="1">
      <c r="A11" s="6" t="s">
        <v>228</v>
      </c>
      <c r="B11" s="11" t="s">
        <v>235</v>
      </c>
      <c r="C11" s="11" t="s">
        <v>649</v>
      </c>
      <c r="D11" s="11" t="s">
        <v>631</v>
      </c>
      <c r="E11" s="11" t="s">
        <v>342</v>
      </c>
      <c r="F11" s="11" t="s">
        <v>646</v>
      </c>
      <c r="G11" s="11" t="s">
        <v>650</v>
      </c>
      <c r="H11" s="7" t="s">
        <v>651</v>
      </c>
    </row>
    <row r="12" spans="1:26" ht="40" customHeight="1">
      <c r="A12" s="6" t="s">
        <v>526</v>
      </c>
      <c r="B12" s="11" t="s">
        <v>237</v>
      </c>
      <c r="C12" s="11" t="s">
        <v>652</v>
      </c>
      <c r="D12" s="11" t="s">
        <v>30</v>
      </c>
      <c r="E12" s="11" t="s">
        <v>653</v>
      </c>
      <c r="F12" s="11" t="s">
        <v>637</v>
      </c>
      <c r="G12" s="11" t="s">
        <v>654</v>
      </c>
      <c r="H12" s="7" t="s">
        <v>655</v>
      </c>
    </row>
    <row r="13" spans="1:26" ht="40" customHeight="1">
      <c r="A13" s="6" t="s">
        <v>64</v>
      </c>
      <c r="B13" s="11" t="s">
        <v>399</v>
      </c>
      <c r="C13" s="11" t="s">
        <v>656</v>
      </c>
      <c r="D13" s="11" t="s">
        <v>641</v>
      </c>
      <c r="E13" s="11" t="s">
        <v>80</v>
      </c>
      <c r="F13" s="11" t="s">
        <v>637</v>
      </c>
      <c r="G13" s="11" t="s">
        <v>657</v>
      </c>
      <c r="H13" s="7" t="s">
        <v>658</v>
      </c>
    </row>
    <row r="14" spans="1:26" ht="40" customHeight="1">
      <c r="A14" s="6" t="s">
        <v>659</v>
      </c>
      <c r="B14" s="11" t="s">
        <v>403</v>
      </c>
      <c r="C14" s="11" t="s">
        <v>660</v>
      </c>
      <c r="D14" s="11" t="s">
        <v>631</v>
      </c>
      <c r="E14" s="11" t="s">
        <v>342</v>
      </c>
      <c r="F14" s="11" t="s">
        <v>661</v>
      </c>
      <c r="G14" s="11" t="s">
        <v>662</v>
      </c>
      <c r="H14" s="7" t="s">
        <v>663</v>
      </c>
    </row>
    <row r="15" spans="1:26" ht="40" customHeight="1">
      <c r="A15" s="6" t="s">
        <v>664</v>
      </c>
      <c r="B15" s="11" t="s">
        <v>665</v>
      </c>
      <c r="C15" s="11" t="s">
        <v>666</v>
      </c>
      <c r="D15" s="11" t="s">
        <v>631</v>
      </c>
      <c r="E15" s="11" t="s">
        <v>667</v>
      </c>
      <c r="F15" s="11" t="s">
        <v>668</v>
      </c>
      <c r="G15" s="11" t="s">
        <v>662</v>
      </c>
      <c r="H15" s="7" t="s">
        <v>669</v>
      </c>
    </row>
    <row r="16" spans="1:26" ht="40" customHeight="1">
      <c r="A16" s="6" t="s">
        <v>670</v>
      </c>
      <c r="B16" s="11" t="s">
        <v>432</v>
      </c>
      <c r="C16" s="11" t="s">
        <v>671</v>
      </c>
      <c r="D16" s="11" t="s">
        <v>631</v>
      </c>
      <c r="E16" s="11" t="s">
        <v>342</v>
      </c>
      <c r="F16" s="11" t="s">
        <v>672</v>
      </c>
      <c r="G16" s="11" t="s">
        <v>673</v>
      </c>
      <c r="H16" s="7" t="s">
        <v>674</v>
      </c>
    </row>
    <row r="17" spans="1:8" ht="40" customHeight="1">
      <c r="A17" s="8" t="s">
        <v>675</v>
      </c>
      <c r="B17" s="12" t="s">
        <v>457</v>
      </c>
      <c r="C17" s="12" t="s">
        <v>676</v>
      </c>
      <c r="D17" s="12" t="s">
        <v>677</v>
      </c>
      <c r="E17" s="12"/>
      <c r="F17" s="12" t="s">
        <v>637</v>
      </c>
      <c r="G17" s="12" t="s">
        <v>678</v>
      </c>
      <c r="H17" s="9" t="s">
        <v>679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20</vt:i4>
      </vt:variant>
    </vt:vector>
  </HeadingPairs>
  <TitlesOfParts>
    <vt:vector size="20" baseType="lpstr">
      <vt:lpstr>任务说明</vt:lpstr>
      <vt:lpstr>决策参数</vt:lpstr>
      <vt:lpstr>账户汇总</vt:lpstr>
      <vt:lpstr>资产背景</vt:lpstr>
      <vt:lpstr>官方持仓</vt:lpstr>
      <vt:lpstr>OCR持仓</vt:lpstr>
      <vt:lpstr>交易流水</vt:lpstr>
      <vt:lpstr>公司行动</vt:lpstr>
      <vt:lpstr>行情快照</vt:lpstr>
      <vt:lpstr>技术状态</vt:lpstr>
      <vt:lpstr>交易规则</vt:lpstr>
      <vt:lpstr>费用滑点</vt:lpstr>
      <vt:lpstr>流动性</vt:lpstr>
      <vt:lpstr>风险参数</vt:lpstr>
      <vt:lpstr>相关性矩阵</vt:lpstr>
      <vt:lpstr>压力情景</vt:lpstr>
      <vt:lpstr>事件日历</vt:lpstr>
      <vt:lpstr>数据质量</vt:lpstr>
      <vt:lpstr>证据索引</vt:lpstr>
      <vt:lpstr>数据字典</vt:lpstr>
    </vt:vector>
  </TitlesOfParts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