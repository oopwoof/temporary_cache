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核对" sheetId="1" state="visible" r:id="rId1"/>
    <sheet xmlns:r="http://schemas.openxmlformats.org/officeDocument/2006/relationships" name="调整与情景测算" sheetId="2" state="visible" r:id="rId2"/>
    <sheet xmlns:r="http://schemas.openxmlformats.org/officeDocument/2006/relationships" name="客户沟通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;[Red]-0.0%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1"/>
    </font>
    <font>
      <b val="1"/>
      <color rgb="00FFFFFF"/>
      <sz val="10"/>
    </font>
    <font>
      <b val="1"/>
    </font>
    <font>
      <sz val="9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3" borderId="1" pivotButton="0" quotePrefix="0" xfId="0"/>
    <xf numFmtId="3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6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28" customWidth="1" min="8" max="8"/>
  </cols>
  <sheetData>
    <row r="1">
      <c r="A1" s="1" t="inlineStr">
        <is>
          <t>砻淬资本 — 集中持仓复核：账户核对</t>
        </is>
      </c>
    </row>
    <row r="2">
      <c r="A2" s="2" t="inlineStr">
        <is>
          <t>基准日：2026年9月8日（周二）14:30 买一价 | 人民币普通证券账户 | 无负债/融资/质押</t>
        </is>
      </c>
    </row>
    <row r="4">
      <c r="A4" s="3" t="inlineStr">
        <is>
          <t>一、输入参数（蓝色底为录入值，其余为公式自动计算）</t>
        </is>
      </c>
    </row>
    <row r="5">
      <c r="A5" s="4" t="inlineStr">
        <is>
          <t>代号</t>
        </is>
      </c>
      <c r="B5" s="4" t="inlineStr">
        <is>
          <t>资产</t>
        </is>
      </c>
      <c r="C5" s="4" t="inlineStr">
        <is>
          <t>数量(股/份)</t>
        </is>
      </c>
      <c r="D5" s="4" t="inlineStr">
        <is>
          <t>批次总成本(元)</t>
        </is>
      </c>
      <c r="E5" s="4" t="inlineStr">
        <is>
          <t>今日可卖</t>
        </is>
      </c>
      <c r="F5" s="4" t="inlineStr">
        <is>
          <t>13:00价</t>
        </is>
      </c>
      <c r="G5" s="4" t="inlineStr">
        <is>
          <t>14:30买一价</t>
        </is>
      </c>
      <c r="H5" s="4" t="inlineStr">
        <is>
          <t>备注</t>
        </is>
      </c>
    </row>
    <row r="6">
      <c r="A6" s="5" t="inlineStr">
        <is>
          <t>EQ01</t>
        </is>
      </c>
      <c r="B6" s="5" t="inlineStr">
        <is>
          <t>光伏设备</t>
        </is>
      </c>
      <c r="C6" s="6" t="n">
        <v>20000</v>
      </c>
      <c r="D6" s="6" t="n">
        <v>600000</v>
      </c>
      <c r="E6" s="6" t="n">
        <v>20000</v>
      </c>
      <c r="F6" s="7" t="n">
        <v>26</v>
      </c>
      <c r="G6" s="7" t="n">
        <v>25</v>
      </c>
      <c r="H6" s="8" t="inlineStr"/>
    </row>
    <row r="7">
      <c r="A7" s="5" t="inlineStr">
        <is>
          <t>EQ02</t>
        </is>
      </c>
      <c r="B7" s="5" t="inlineStr">
        <is>
          <t>电池制造（旧批次）</t>
        </is>
      </c>
      <c r="C7" s="6" t="n">
        <v>16000</v>
      </c>
      <c r="D7" s="6" t="n">
        <v>560000</v>
      </c>
      <c r="E7" s="6" t="n">
        <v>16000</v>
      </c>
      <c r="F7" s="7" t="n">
        <v>31</v>
      </c>
      <c r="G7" s="7" t="n">
        <v>30</v>
      </c>
      <c r="H7" s="8" t="inlineStr">
        <is>
          <t>历史持仓，今日可卖</t>
        </is>
      </c>
    </row>
    <row r="8">
      <c r="A8" s="5" t="inlineStr">
        <is>
          <t>EQ02</t>
        </is>
      </c>
      <c r="B8" s="5" t="inlineStr">
        <is>
          <t>电池制造（今日买入）</t>
        </is>
      </c>
      <c r="C8" s="6" t="n">
        <v>4000</v>
      </c>
      <c r="D8" s="6" t="n">
        <v>122000</v>
      </c>
      <c r="E8" s="6" t="n">
        <v>0</v>
      </c>
      <c r="F8" s="7" t="n">
        <v>31</v>
      </c>
      <c r="G8" s="7" t="n">
        <v>30</v>
      </c>
      <c r="H8" s="8" t="inlineStr">
        <is>
          <t>9/8 10:12买入，T+1当日不可卖</t>
        </is>
      </c>
    </row>
    <row r="9">
      <c r="A9" s="5" t="inlineStr">
        <is>
          <t>EQ03</t>
        </is>
      </c>
      <c r="B9" s="5" t="inlineStr">
        <is>
          <t>公用事业</t>
        </is>
      </c>
      <c r="C9" s="6" t="n">
        <v>30000</v>
      </c>
      <c r="D9" s="6" t="n">
        <v>240000</v>
      </c>
      <c r="E9" s="6" t="n">
        <v>30000</v>
      </c>
      <c r="F9" s="7" t="n">
        <v>10</v>
      </c>
      <c r="G9" s="7" t="n">
        <v>10</v>
      </c>
      <c r="H9" s="8" t="inlineStr"/>
    </row>
    <row r="10">
      <c r="A10" s="5" t="inlineStr">
        <is>
          <t>ETF01</t>
        </is>
      </c>
      <c r="B10" s="5" t="inlineStr">
        <is>
          <t>A股宽基ETF</t>
        </is>
      </c>
      <c r="C10" s="6" t="n">
        <v>120000</v>
      </c>
      <c r="D10" s="6" t="n">
        <v>336000</v>
      </c>
      <c r="E10" s="6" t="n">
        <v>120000</v>
      </c>
      <c r="F10" s="7" t="n">
        <v>3</v>
      </c>
      <c r="G10" s="7" t="n">
        <v>3</v>
      </c>
      <c r="H10" s="8" t="inlineStr"/>
    </row>
    <row r="12">
      <c r="A12" s="9" t="inlineStr">
        <is>
          <t>期初现金</t>
        </is>
      </c>
      <c r="D12" s="10" t="n">
        <v>230000</v>
      </c>
    </row>
    <row r="13">
      <c r="A13" s="9" t="inlineStr">
        <is>
          <t>股票卖出费率</t>
        </is>
      </c>
      <c r="D13" s="11" t="n">
        <v>0.0008</v>
      </c>
    </row>
    <row r="14">
      <c r="A14" s="9" t="inlineStr">
        <is>
          <t>ETF卖出费率</t>
        </is>
      </c>
      <c r="D14" s="11" t="n">
        <v>0.0003</v>
      </c>
    </row>
    <row r="15">
      <c r="A15" s="9" t="inlineStr">
        <is>
          <t>每笔最低佣金(元)</t>
        </is>
      </c>
      <c r="D15" s="12" t="n">
        <v>5</v>
      </c>
    </row>
    <row r="17">
      <c r="A17" s="3" t="inlineStr">
        <is>
          <t>二、13:00 汇总页勾稽</t>
        </is>
      </c>
    </row>
    <row r="18">
      <c r="A18" s="4" t="inlineStr">
        <is>
          <t>项目</t>
        </is>
      </c>
      <c r="B18" s="4" t="inlineStr">
        <is>
          <t>数量</t>
        </is>
      </c>
      <c r="C18" s="4" t="inlineStr">
        <is>
          <t>13:00价</t>
        </is>
      </c>
      <c r="D18" s="4" t="inlineStr">
        <is>
          <t>市值(元)</t>
        </is>
      </c>
      <c r="E18" s="4" t="inlineStr">
        <is>
          <t>汇总页总资产</t>
        </is>
      </c>
      <c r="F18" s="4" t="inlineStr">
        <is>
          <t>差异(元)</t>
        </is>
      </c>
    </row>
    <row r="19">
      <c r="A19" s="8">
        <f>A6&amp;" "&amp;B6</f>
        <v/>
      </c>
      <c r="B19" s="13">
        <f>C6</f>
        <v/>
      </c>
      <c r="C19" s="14">
        <f>F6</f>
        <v/>
      </c>
      <c r="D19" s="13">
        <f>B19*C19</f>
        <v/>
      </c>
    </row>
    <row r="20">
      <c r="A20" s="8">
        <f>A7&amp;" "&amp;B7</f>
        <v/>
      </c>
      <c r="B20" s="13">
        <f>C7</f>
        <v/>
      </c>
      <c r="C20" s="14">
        <f>F7</f>
        <v/>
      </c>
      <c r="D20" s="13">
        <f>B20*C20</f>
        <v/>
      </c>
    </row>
    <row r="21">
      <c r="A21" s="8">
        <f>A8&amp;" "&amp;B8</f>
        <v/>
      </c>
      <c r="B21" s="13">
        <f>C8</f>
        <v/>
      </c>
      <c r="C21" s="14">
        <f>F8</f>
        <v/>
      </c>
      <c r="D21" s="13">
        <f>B21*C21</f>
        <v/>
      </c>
    </row>
    <row r="22">
      <c r="A22" s="8">
        <f>A9&amp;" "&amp;B9</f>
        <v/>
      </c>
      <c r="B22" s="13">
        <f>C9</f>
        <v/>
      </c>
      <c r="C22" s="14">
        <f>F9</f>
        <v/>
      </c>
      <c r="D22" s="13">
        <f>B22*C22</f>
        <v/>
      </c>
    </row>
    <row r="23">
      <c r="A23" s="8">
        <f>A10&amp;" "&amp;B10</f>
        <v/>
      </c>
      <c r="B23" s="13">
        <f>C10</f>
        <v/>
      </c>
      <c r="C23" s="14">
        <f>F10</f>
        <v/>
      </c>
      <c r="D23" s="13">
        <f>B23*C23</f>
        <v/>
      </c>
    </row>
    <row r="24">
      <c r="A24" s="15" t="inlineStr">
        <is>
          <t>证券市值合计</t>
        </is>
      </c>
      <c r="B24" s="5" t="n"/>
      <c r="C24" s="5" t="n"/>
      <c r="D24" s="13">
        <f>SUM(D19:D23)</f>
        <v/>
      </c>
      <c r="E24" s="5" t="n"/>
      <c r="F24" s="5" t="n"/>
    </row>
    <row r="25">
      <c r="A25" s="15" t="inlineStr">
        <is>
          <t>现金</t>
        </is>
      </c>
      <c r="B25" s="5" t="n"/>
      <c r="C25" s="5" t="n"/>
      <c r="D25" s="13">
        <f>'账户核对'!D12</f>
        <v/>
      </c>
      <c r="E25" s="5" t="n"/>
      <c r="F25" s="5" t="n"/>
    </row>
    <row r="26">
      <c r="A26" s="15" t="inlineStr">
        <is>
          <t>总资产（计算值）</t>
        </is>
      </c>
      <c r="B26" s="5" t="n"/>
      <c r="C26" s="5" t="n"/>
      <c r="D26" s="13">
        <f>D24+D25</f>
        <v/>
      </c>
      <c r="E26" s="13" t="n">
        <v>2030000</v>
      </c>
      <c r="F26" s="13">
        <f>D26-E26</f>
        <v/>
      </c>
    </row>
    <row r="28">
      <c r="A28" s="3" t="inlineStr">
        <is>
          <t>三、14:30 买一价勾稽与浮动盈亏</t>
        </is>
      </c>
    </row>
    <row r="29">
      <c r="A29" s="4" t="inlineStr">
        <is>
          <t>项目</t>
        </is>
      </c>
      <c r="B29" s="4" t="inlineStr">
        <is>
          <t>数量</t>
        </is>
      </c>
      <c r="C29" s="4" t="inlineStr">
        <is>
          <t>14:30价</t>
        </is>
      </c>
      <c r="D29" s="4" t="inlineStr">
        <is>
          <t>市值(元)</t>
        </is>
      </c>
      <c r="E29" s="4" t="inlineStr">
        <is>
          <t>成本(元)</t>
        </is>
      </c>
      <c r="F29" s="4" t="inlineStr">
        <is>
          <t>浮动盈亏(元)</t>
        </is>
      </c>
      <c r="G29" s="4" t="inlineStr">
        <is>
          <t>盈亏率</t>
        </is>
      </c>
    </row>
    <row r="30">
      <c r="A30" s="8">
        <f>A6&amp;" "&amp;B6</f>
        <v/>
      </c>
      <c r="B30" s="13">
        <f>C6</f>
        <v/>
      </c>
      <c r="C30" s="14">
        <f>G6</f>
        <v/>
      </c>
      <c r="D30" s="13">
        <f>B30*C30</f>
        <v/>
      </c>
      <c r="E30" s="13">
        <f>D6</f>
        <v/>
      </c>
      <c r="F30" s="16">
        <f>D30-E30</f>
        <v/>
      </c>
      <c r="G30" s="17">
        <f>F30/E30</f>
        <v/>
      </c>
    </row>
    <row r="31">
      <c r="A31" s="8">
        <f>A7&amp;" "&amp;B7</f>
        <v/>
      </c>
      <c r="B31" s="13">
        <f>C7</f>
        <v/>
      </c>
      <c r="C31" s="14">
        <f>G7</f>
        <v/>
      </c>
      <c r="D31" s="13">
        <f>B31*C31</f>
        <v/>
      </c>
      <c r="E31" s="13">
        <f>D7</f>
        <v/>
      </c>
      <c r="F31" s="16">
        <f>D31-E31</f>
        <v/>
      </c>
      <c r="G31" s="17">
        <f>F31/E31</f>
        <v/>
      </c>
    </row>
    <row r="32">
      <c r="A32" s="8">
        <f>A8&amp;" "&amp;B8</f>
        <v/>
      </c>
      <c r="B32" s="13">
        <f>C8</f>
        <v/>
      </c>
      <c r="C32" s="14">
        <f>G8</f>
        <v/>
      </c>
      <c r="D32" s="13">
        <f>B32*C32</f>
        <v/>
      </c>
      <c r="E32" s="13">
        <f>D8</f>
        <v/>
      </c>
      <c r="F32" s="16">
        <f>D32-E32</f>
        <v/>
      </c>
      <c r="G32" s="17">
        <f>F32/E32</f>
        <v/>
      </c>
    </row>
    <row r="33">
      <c r="A33" s="8">
        <f>A9&amp;" "&amp;B9</f>
        <v/>
      </c>
      <c r="B33" s="13">
        <f>C9</f>
        <v/>
      </c>
      <c r="C33" s="14">
        <f>G9</f>
        <v/>
      </c>
      <c r="D33" s="13">
        <f>B33*C33</f>
        <v/>
      </c>
      <c r="E33" s="13">
        <f>D9</f>
        <v/>
      </c>
      <c r="F33" s="16">
        <f>D33-E33</f>
        <v/>
      </c>
      <c r="G33" s="17">
        <f>F33/E33</f>
        <v/>
      </c>
    </row>
    <row r="34">
      <c r="A34" s="8">
        <f>A10&amp;" "&amp;B10</f>
        <v/>
      </c>
      <c r="B34" s="13">
        <f>C10</f>
        <v/>
      </c>
      <c r="C34" s="14">
        <f>G10</f>
        <v/>
      </c>
      <c r="D34" s="13">
        <f>B34*C34</f>
        <v/>
      </c>
      <c r="E34" s="13">
        <f>D10</f>
        <v/>
      </c>
      <c r="F34" s="16">
        <f>D34-E34</f>
        <v/>
      </c>
      <c r="G34" s="17">
        <f>F34/E34</f>
        <v/>
      </c>
    </row>
    <row r="35">
      <c r="A35" s="15" t="inlineStr">
        <is>
          <t>电池合计（旧+新）</t>
        </is>
      </c>
      <c r="B35" s="5" t="n"/>
      <c r="C35" s="5" t="n"/>
      <c r="D35" s="13">
        <f>D31+D32</f>
        <v/>
      </c>
      <c r="E35" s="13">
        <f>E31+E32</f>
        <v/>
      </c>
      <c r="F35" s="16">
        <f>D35-E35</f>
        <v/>
      </c>
      <c r="G35" s="17">
        <f>F35/E35</f>
        <v/>
      </c>
    </row>
    <row r="36">
      <c r="A36" s="15" t="inlineStr">
        <is>
          <t>证券市值合计</t>
        </is>
      </c>
      <c r="B36" s="5" t="n"/>
      <c r="C36" s="5" t="n"/>
      <c r="D36" s="13">
        <f>SUM(D30:D34)</f>
        <v/>
      </c>
      <c r="E36" s="5" t="n"/>
      <c r="F36" s="5" t="n"/>
      <c r="G36" s="5" t="n"/>
    </row>
    <row r="37">
      <c r="A37" s="15" t="inlineStr">
        <is>
          <t>现金</t>
        </is>
      </c>
      <c r="B37" s="5" t="n"/>
      <c r="C37" s="5" t="n"/>
      <c r="D37" s="13">
        <f>'账户核对'!D12</f>
        <v/>
      </c>
      <c r="E37" s="5" t="n"/>
      <c r="F37" s="5" t="n"/>
      <c r="G37" s="5" t="n"/>
    </row>
    <row r="38">
      <c r="A38" s="18" t="inlineStr">
        <is>
          <t>净资产（14:30，未调整）</t>
        </is>
      </c>
      <c r="B38" s="5" t="n"/>
      <c r="C38" s="5" t="n"/>
      <c r="D38" s="13">
        <f>D36+D37</f>
        <v/>
      </c>
      <c r="E38" s="5" t="n"/>
      <c r="F38" s="5" t="n"/>
      <c r="G38" s="5" t="n"/>
    </row>
    <row r="40">
      <c r="A40" s="3" t="inlineStr">
        <is>
          <t>四、13:00→14:30 净资产变动来源</t>
        </is>
      </c>
    </row>
    <row r="41">
      <c r="A41" s="4" t="inlineStr">
        <is>
          <t>项目</t>
        </is>
      </c>
      <c r="B41" s="4" t="inlineStr">
        <is>
          <t>价差</t>
        </is>
      </c>
      <c r="C41" s="4" t="inlineStr">
        <is>
          <t>数量</t>
        </is>
      </c>
      <c r="D41" s="4" t="inlineStr">
        <is>
          <t>贡献(元)</t>
        </is>
      </c>
    </row>
    <row r="42">
      <c r="A42" s="8">
        <f>B6</f>
        <v/>
      </c>
      <c r="B42" s="14">
        <f>G6-F6</f>
        <v/>
      </c>
      <c r="C42" s="13">
        <f>C6</f>
        <v/>
      </c>
      <c r="D42" s="16">
        <f>B42*C42</f>
        <v/>
      </c>
    </row>
    <row r="43">
      <c r="A43" s="8">
        <f>B7</f>
        <v/>
      </c>
      <c r="B43" s="14">
        <f>G7-F7</f>
        <v/>
      </c>
      <c r="C43" s="13">
        <f>C7</f>
        <v/>
      </c>
      <c r="D43" s="16">
        <f>B43*C43</f>
        <v/>
      </c>
    </row>
    <row r="44">
      <c r="A44" s="8">
        <f>B8</f>
        <v/>
      </c>
      <c r="B44" s="14">
        <f>G8-F8</f>
        <v/>
      </c>
      <c r="C44" s="13">
        <f>C8</f>
        <v/>
      </c>
      <c r="D44" s="16">
        <f>B44*C44</f>
        <v/>
      </c>
    </row>
    <row r="45">
      <c r="A45" s="8">
        <f>B9</f>
        <v/>
      </c>
      <c r="B45" s="14">
        <f>G9-F9</f>
        <v/>
      </c>
      <c r="C45" s="13">
        <f>C9</f>
        <v/>
      </c>
      <c r="D45" s="16">
        <f>B45*C45</f>
        <v/>
      </c>
    </row>
    <row r="46">
      <c r="A46" s="8">
        <f>B10</f>
        <v/>
      </c>
      <c r="B46" s="14">
        <f>G10-F10</f>
        <v/>
      </c>
      <c r="C46" s="13">
        <f>C10</f>
        <v/>
      </c>
      <c r="D46" s="16">
        <f>B46*C46</f>
        <v/>
      </c>
    </row>
    <row r="47">
      <c r="A47" s="15" t="inlineStr">
        <is>
          <t>价格变动合计</t>
        </is>
      </c>
      <c r="B47" s="5" t="n"/>
      <c r="C47" s="5" t="n"/>
      <c r="D47" s="16">
        <f>SUM(D42:D46)</f>
        <v/>
      </c>
    </row>
    <row r="48">
      <c r="A48" s="15" t="inlineStr">
        <is>
          <t>现金变动</t>
        </is>
      </c>
      <c r="B48" s="5" t="n"/>
      <c r="C48" s="5" t="n"/>
      <c r="D48" s="13" t="n">
        <v>0</v>
      </c>
    </row>
    <row r="49">
      <c r="A49" s="15" t="inlineStr">
        <is>
          <t>净资产差额</t>
        </is>
      </c>
      <c r="B49" s="5" t="n"/>
      <c r="C49" s="5" t="n"/>
      <c r="D49" s="16">
        <f>D38-D26</f>
        <v/>
      </c>
    </row>
    <row r="51">
      <c r="A51" s="3" t="inlineStr">
        <is>
          <t>五、未调整持仓权重与约束初判（14:30，不计交易费）</t>
        </is>
      </c>
    </row>
    <row r="52">
      <c r="A52" s="4" t="inlineStr">
        <is>
          <t>项目</t>
        </is>
      </c>
      <c r="B52" s="4" t="inlineStr">
        <is>
          <t>市值(元)</t>
        </is>
      </c>
      <c r="C52" s="4" t="inlineStr">
        <is>
          <t>权重</t>
        </is>
      </c>
      <c r="D52" s="4" t="inlineStr">
        <is>
          <t>约束</t>
        </is>
      </c>
      <c r="E52" s="4" t="inlineStr">
        <is>
          <t>判定</t>
        </is>
      </c>
    </row>
    <row r="53">
      <c r="A53" s="5" t="inlineStr">
        <is>
          <t>EQ01 光伏设备</t>
        </is>
      </c>
      <c r="B53" s="13">
        <f>D30</f>
        <v/>
      </c>
      <c r="C53" s="19">
        <f>B53/D38</f>
        <v/>
      </c>
      <c r="D53" s="5" t="inlineStr">
        <is>
          <t>单票≤25%</t>
        </is>
      </c>
      <c r="E53" s="5">
        <f>IF(C53&lt;=0.25,"达标","超限")</f>
        <v/>
      </c>
    </row>
    <row r="54">
      <c r="A54" s="5" t="inlineStr">
        <is>
          <t>EQ02 电池（合计）</t>
        </is>
      </c>
      <c r="B54" s="13">
        <f>D31+D32</f>
        <v/>
      </c>
      <c r="C54" s="19">
        <f>B54/D38</f>
        <v/>
      </c>
      <c r="D54" s="5" t="inlineStr">
        <is>
          <t>单票≤25%</t>
        </is>
      </c>
      <c r="E54" s="5">
        <f>IF(C54&lt;=0.25,"达标","超限")</f>
        <v/>
      </c>
    </row>
    <row r="55">
      <c r="A55" s="15" t="inlineStr">
        <is>
          <t>新能源合计（光伏+电池）</t>
        </is>
      </c>
      <c r="B55" s="13">
        <f>B53+B54</f>
        <v/>
      </c>
      <c r="C55" s="19">
        <f>B55/D38</f>
        <v/>
      </c>
      <c r="D55" s="5" t="inlineStr">
        <is>
          <t>合计≤45%</t>
        </is>
      </c>
      <c r="E55" s="5">
        <f>IF(C55&lt;=0.45,"达标","超限")</f>
        <v/>
      </c>
    </row>
    <row r="56">
      <c r="A56" s="5" t="inlineStr">
        <is>
          <t>EQ03 公用事业</t>
        </is>
      </c>
      <c r="B56" s="13">
        <f>D33</f>
        <v/>
      </c>
      <c r="C56" s="19">
        <f>B56/D38</f>
        <v/>
      </c>
      <c r="D56" s="5" t="inlineStr">
        <is>
          <t>单票≤25%</t>
        </is>
      </c>
      <c r="E56" s="5">
        <f>IF(C56&lt;=0.25,"达标","超限")</f>
        <v/>
      </c>
    </row>
    <row r="57">
      <c r="A57" s="5" t="inlineStr">
        <is>
          <t>ETF01 宽基ETF</t>
        </is>
      </c>
      <c r="B57" s="13">
        <f>D34</f>
        <v/>
      </c>
      <c r="C57" s="19">
        <f>B57/D38</f>
        <v/>
      </c>
      <c r="D57" s="5" t="inlineStr">
        <is>
          <t>—</t>
        </is>
      </c>
      <c r="E57" s="5" t="inlineStr">
        <is>
          <t>—</t>
        </is>
      </c>
    </row>
    <row r="58">
      <c r="A58" s="5" t="inlineStr">
        <is>
          <t>现金</t>
        </is>
      </c>
      <c r="B58" s="13">
        <f>D37</f>
        <v/>
      </c>
      <c r="C58" s="19">
        <f>B58/D38</f>
        <v/>
      </c>
      <c r="D58" s="5" t="inlineStr">
        <is>
          <t>≥30万</t>
        </is>
      </c>
      <c r="E58" s="5">
        <f>IF(B58&gt;=300000,"达标","超限")</f>
        <v/>
      </c>
    </row>
    <row r="59">
      <c r="A59" s="15" t="inlineStr">
        <is>
          <t>权重合计校验</t>
        </is>
      </c>
      <c r="B59" s="5" t="n"/>
      <c r="C59" s="19">
        <f>SUM(C53:C58)</f>
        <v/>
      </c>
      <c r="D59" s="5" t="inlineStr">
        <is>
          <t>应=100%</t>
        </is>
      </c>
      <c r="E59" s="5" t="n"/>
    </row>
    <row r="61">
      <c r="A61" s="3" t="inlineStr">
        <is>
          <t>六、联动情景损失初算（未调整）</t>
        </is>
      </c>
    </row>
    <row r="62">
      <c r="A62" s="4" t="inlineStr">
        <is>
          <t>项目</t>
        </is>
      </c>
      <c r="B62" s="4" t="inlineStr">
        <is>
          <t>市值(元)</t>
        </is>
      </c>
      <c r="C62" s="4" t="inlineStr">
        <is>
          <t>冲击跌幅</t>
        </is>
      </c>
      <c r="D62" s="4" t="inlineStr">
        <is>
          <t>损失额(元)</t>
        </is>
      </c>
    </row>
    <row r="63">
      <c r="A63" s="5" t="inlineStr">
        <is>
          <t>光伏</t>
        </is>
      </c>
      <c r="B63" s="13">
        <f>D30</f>
        <v/>
      </c>
      <c r="C63" s="20" t="n">
        <v>0.25</v>
      </c>
      <c r="D63" s="13">
        <f>B63*C63</f>
        <v/>
      </c>
    </row>
    <row r="64">
      <c r="A64" s="5" t="inlineStr">
        <is>
          <t>电池</t>
        </is>
      </c>
      <c r="B64" s="13">
        <f>D31+D32</f>
        <v/>
      </c>
      <c r="C64" s="20" t="n">
        <v>0.25</v>
      </c>
      <c r="D64" s="13">
        <f>B64*C64</f>
        <v/>
      </c>
    </row>
    <row r="65">
      <c r="A65" s="5" t="inlineStr">
        <is>
          <t>公用事业</t>
        </is>
      </c>
      <c r="B65" s="13">
        <f>D33</f>
        <v/>
      </c>
      <c r="C65" s="20" t="n">
        <v>0.08</v>
      </c>
      <c r="D65" s="13">
        <f>B65*C65</f>
        <v/>
      </c>
    </row>
    <row r="66">
      <c r="A66" s="5" t="inlineStr">
        <is>
          <t>宽基ETF</t>
        </is>
      </c>
      <c r="B66" s="13">
        <f>D34</f>
        <v/>
      </c>
      <c r="C66" s="20" t="n">
        <v>0.12</v>
      </c>
      <c r="D66" s="13">
        <f>B66*C66</f>
        <v/>
      </c>
    </row>
    <row r="67">
      <c r="A67" s="15" t="inlineStr">
        <is>
          <t>联动损失合计</t>
        </is>
      </c>
      <c r="B67" s="5" t="n"/>
      <c r="C67" s="5" t="n"/>
      <c r="D67" s="13">
        <f>SUM(D63:D66)</f>
        <v/>
      </c>
    </row>
    <row r="68">
      <c r="A68" s="15" t="inlineStr">
        <is>
          <t>损失率</t>
        </is>
      </c>
      <c r="B68" s="5" t="n"/>
      <c r="C68" s="5" t="n"/>
      <c r="D68" s="19">
        <f>D67/D38</f>
        <v/>
      </c>
      <c r="E68" s="5" t="inlineStr">
        <is>
          <t>阈值≤12%</t>
        </is>
      </c>
      <c r="F68" s="5">
        <f>IF(D68&lt;=0.12,"达标","超限")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2" customWidth="1" min="4" max="4"/>
    <col width="18" customWidth="1" min="5" max="5"/>
    <col width="22" customWidth="1" min="6" max="6"/>
    <col width="22" customWidth="1" min="7" max="7"/>
  </cols>
  <sheetData>
    <row r="1">
      <c r="A1" s="21" t="inlineStr">
        <is>
          <t>调整与情景测算</t>
        </is>
      </c>
    </row>
    <row r="2">
      <c r="A2" s="22" t="inlineStr">
        <is>
          <t>价格引用'账户核对'表14:30买一价；蓝色格为可修改卖出数量，其余自动计算。费用每品种每日合并一笔，最低5元。</t>
        </is>
      </c>
    </row>
    <row r="4">
      <c r="A4" s="23" t="inlineStr">
        <is>
          <t>一、卖出数量与成交额</t>
        </is>
      </c>
    </row>
    <row r="5">
      <c r="A5" s="4" t="inlineStr">
        <is>
          <t>项目</t>
        </is>
      </c>
      <c r="B5" s="4" t="inlineStr">
        <is>
          <t>未调整</t>
        </is>
      </c>
      <c r="C5" s="4" t="inlineStr">
        <is>
          <t>方案A:只卖盈利</t>
        </is>
      </c>
      <c r="D5" s="4" t="inlineStr">
        <is>
          <t>方案B:风险减仓</t>
        </is>
      </c>
    </row>
    <row r="6">
      <c r="A6" s="24" t="inlineStr">
        <is>
          <t>卖出光伏(股)</t>
        </is>
      </c>
      <c r="B6" s="13" t="n">
        <v>0</v>
      </c>
      <c r="C6" s="6" t="n">
        <v>0</v>
      </c>
      <c r="D6" s="6" t="n">
        <v>4000</v>
      </c>
    </row>
    <row r="7">
      <c r="A7" s="24" t="inlineStr">
        <is>
          <t>卖出电池旧批次(股)</t>
        </is>
      </c>
      <c r="B7" s="13" t="n">
        <v>0</v>
      </c>
      <c r="C7" s="6" t="n">
        <v>0</v>
      </c>
      <c r="D7" s="6" t="n">
        <v>3500</v>
      </c>
    </row>
    <row r="8">
      <c r="A8" s="24" t="inlineStr">
        <is>
          <t>卖出电池今日买入(股)</t>
        </is>
      </c>
      <c r="B8" s="13" t="n">
        <v>0</v>
      </c>
      <c r="C8" s="6" t="n">
        <v>0</v>
      </c>
      <c r="D8" s="6" t="n">
        <v>0</v>
      </c>
    </row>
    <row r="9">
      <c r="A9" s="24" t="inlineStr">
        <is>
          <t>卖出公用事业(股)</t>
        </is>
      </c>
      <c r="B9" s="13" t="n">
        <v>0</v>
      </c>
      <c r="C9" s="6" t="n">
        <v>30000</v>
      </c>
      <c r="D9" s="6" t="n">
        <v>11300</v>
      </c>
    </row>
    <row r="10">
      <c r="A10" s="24" t="inlineStr">
        <is>
          <t>卖出ETF(份)</t>
        </is>
      </c>
      <c r="B10" s="13" t="n">
        <v>0</v>
      </c>
      <c r="C10" s="6" t="n">
        <v>120000</v>
      </c>
      <c r="D10" s="6" t="n">
        <v>120000</v>
      </c>
    </row>
    <row r="11">
      <c r="A11" s="24" t="inlineStr">
        <is>
          <t>光伏成交额(元)</t>
        </is>
      </c>
      <c r="B11" s="13" t="n">
        <v>0</v>
      </c>
      <c r="C11" s="13">
        <f>C6*'账户核对'!G6</f>
        <v/>
      </c>
      <c r="D11" s="13">
        <f>D6*'账户核对'!G6</f>
        <v/>
      </c>
    </row>
    <row r="12">
      <c r="A12" s="24" t="inlineStr">
        <is>
          <t>电池成交额(元)</t>
        </is>
      </c>
      <c r="B12" s="13" t="n">
        <v>0</v>
      </c>
      <c r="C12" s="13">
        <f>C7*'账户核对'!G7</f>
        <v/>
      </c>
      <c r="D12" s="13">
        <f>D7*'账户核对'!G7</f>
        <v/>
      </c>
    </row>
    <row r="13">
      <c r="A13" s="24" t="inlineStr">
        <is>
          <t>公用成交额(元)</t>
        </is>
      </c>
      <c r="B13" s="13" t="n">
        <v>0</v>
      </c>
      <c r="C13" s="13">
        <f>C9*'账户核对'!G9</f>
        <v/>
      </c>
      <c r="D13" s="13">
        <f>D9*'账户核对'!G9</f>
        <v/>
      </c>
    </row>
    <row r="14">
      <c r="A14" s="24" t="inlineStr">
        <is>
          <t>ETF成交额(元)</t>
        </is>
      </c>
      <c r="B14" s="13" t="n">
        <v>0</v>
      </c>
      <c r="C14" s="13">
        <f>C10*'账户核对'!G10</f>
        <v/>
      </c>
      <c r="D14" s="13">
        <f>D10*'账户核对'!G10</f>
        <v/>
      </c>
    </row>
    <row r="15">
      <c r="A15" s="24" t="inlineStr">
        <is>
          <t>光伏费用(元)</t>
        </is>
      </c>
      <c r="B15" s="13" t="n">
        <v>0</v>
      </c>
      <c r="C15" s="13">
        <f>IF(C11&gt;0,MAX(C11*'账户核对'!D13,'账户核对'!D15),0)</f>
        <v/>
      </c>
      <c r="D15" s="13">
        <f>IF(D11&gt;0,MAX(D11*'账户核对'!D13,'账户核对'!D15),0)</f>
        <v/>
      </c>
    </row>
    <row r="16">
      <c r="A16" s="24" t="inlineStr">
        <is>
          <t>电池费用(元)</t>
        </is>
      </c>
      <c r="B16" s="13" t="n">
        <v>0</v>
      </c>
      <c r="C16" s="13">
        <f>IF(C12&gt;0,MAX(C12*'账户核对'!D13,'账户核对'!D15),0)</f>
        <v/>
      </c>
      <c r="D16" s="13">
        <f>IF(D12&gt;0,MAX(D12*'账户核对'!D13,'账户核对'!D15),0)</f>
        <v/>
      </c>
    </row>
    <row r="17">
      <c r="A17" s="24" t="inlineStr">
        <is>
          <t>公用费用(元)</t>
        </is>
      </c>
      <c r="B17" s="13" t="n">
        <v>0</v>
      </c>
      <c r="C17" s="13">
        <f>IF(C13&gt;0,MAX(C13*'账户核对'!D13,'账户核对'!D15),0)</f>
        <v/>
      </c>
      <c r="D17" s="13">
        <f>IF(D13&gt;0,MAX(D13*'账户核对'!D13,'账户核对'!D15),0)</f>
        <v/>
      </c>
    </row>
    <row r="18">
      <c r="A18" s="24" t="inlineStr">
        <is>
          <t>ETF费用(元)</t>
        </is>
      </c>
      <c r="B18" s="13" t="n">
        <v>0</v>
      </c>
      <c r="C18" s="13">
        <f>IF(C14&gt;0,MAX(C14*'账户核对'!D14,'账户核对'!D15),0)</f>
        <v/>
      </c>
      <c r="D18" s="13">
        <f>IF(D14&gt;0,MAX(D14*'账户核对'!D14,'账户核对'!D15),0)</f>
        <v/>
      </c>
    </row>
    <row r="19">
      <c r="A19" s="25" t="inlineStr">
        <is>
          <t>费用合计(元)</t>
        </is>
      </c>
      <c r="B19" s="26" t="n">
        <v>0</v>
      </c>
      <c r="C19" s="26">
        <f>SUM(C15:C18)</f>
        <v/>
      </c>
      <c r="D19" s="26">
        <f>SUM(D15:D18)</f>
        <v/>
      </c>
    </row>
    <row r="20">
      <c r="A20" s="24" t="inlineStr">
        <is>
          <t>净回笼(元)</t>
        </is>
      </c>
      <c r="B20" s="13" t="n">
        <v>0</v>
      </c>
      <c r="C20" s="13">
        <f>C11+C12+C13+C14-C19</f>
        <v/>
      </c>
      <c r="D20" s="13">
        <f>D11+D12+D13+D14-D19</f>
        <v/>
      </c>
    </row>
    <row r="22">
      <c r="A22" s="23" t="inlineStr">
        <is>
          <t>二、交易后剩余持仓与现金</t>
        </is>
      </c>
    </row>
    <row r="23">
      <c r="A23" s="4" t="inlineStr">
        <is>
          <t>项目</t>
        </is>
      </c>
      <c r="B23" s="4" t="inlineStr">
        <is>
          <t>未调整</t>
        </is>
      </c>
      <c r="C23" s="4" t="inlineStr">
        <is>
          <t>方案A</t>
        </is>
      </c>
      <c r="D23" s="4" t="inlineStr">
        <is>
          <t>方案B</t>
        </is>
      </c>
    </row>
    <row r="24">
      <c r="A24" s="24" t="inlineStr">
        <is>
          <t>光伏剩余市值(元)</t>
        </is>
      </c>
      <c r="B24" s="13">
        <f>'账户核对'!C6*'账户核对'!G6</f>
        <v/>
      </c>
      <c r="C24" s="13">
        <f>('账户核对'!C6-C6)*'账户核对'!G6</f>
        <v/>
      </c>
      <c r="D24" s="13">
        <f>('账户核对'!C6-D6)*'账户核对'!G6</f>
        <v/>
      </c>
    </row>
    <row r="25">
      <c r="A25" s="24" t="inlineStr">
        <is>
          <t>电池剩余市值(元)</t>
        </is>
      </c>
      <c r="B25" s="13">
        <f>('账户核对'!C7+'账户核对'!C8)*'账户核对'!G7</f>
        <v/>
      </c>
      <c r="C25" s="13">
        <f>('账户核对'!C7-C7+'账户核对'!C8-C8)*'账户核对'!G7</f>
        <v/>
      </c>
      <c r="D25" s="13">
        <f>('账户核对'!C7-D7+'账户核对'!C8-D8)*'账户核对'!G7</f>
        <v/>
      </c>
    </row>
    <row r="26">
      <c r="A26" s="24" t="inlineStr">
        <is>
          <t>公用剩余市值(元)</t>
        </is>
      </c>
      <c r="B26" s="13">
        <f>'账户核对'!C9*'账户核对'!G9</f>
        <v/>
      </c>
      <c r="C26" s="13">
        <f>('账户核对'!C9-C9)*'账户核对'!G9</f>
        <v/>
      </c>
      <c r="D26" s="13">
        <f>('账户核对'!C9-D9)*'账户核对'!G9</f>
        <v/>
      </c>
    </row>
    <row r="27">
      <c r="A27" s="24" t="inlineStr">
        <is>
          <t>ETF剩余市值(元)</t>
        </is>
      </c>
      <c r="B27" s="13">
        <f>'账户核对'!C10*'账户核对'!G10</f>
        <v/>
      </c>
      <c r="C27" s="13">
        <f>('账户核对'!C10-C10)*'账户核对'!G10</f>
        <v/>
      </c>
      <c r="D27" s="13">
        <f>('账户核对'!C10-D10)*'账户核对'!G10</f>
        <v/>
      </c>
    </row>
    <row r="28">
      <c r="A28" s="24" t="inlineStr">
        <is>
          <t>交易后现金(元)</t>
        </is>
      </c>
      <c r="B28" s="13">
        <f>'账户核对'!D12</f>
        <v/>
      </c>
      <c r="C28" s="13">
        <f>'账户核对'!D12+C20</f>
        <v/>
      </c>
      <c r="D28" s="13">
        <f>'账户核对'!D12+D20</f>
        <v/>
      </c>
    </row>
    <row r="29">
      <c r="A29" s="25" t="inlineStr">
        <is>
          <t>交易后净资产(元)</t>
        </is>
      </c>
      <c r="B29" s="26">
        <f>B24+B25+B26+B27+B28</f>
        <v/>
      </c>
      <c r="C29" s="26">
        <f>C24+C25+C26+C27+C28</f>
        <v/>
      </c>
      <c r="D29" s="26">
        <f>D24+D25+D26+D27+D28</f>
        <v/>
      </c>
    </row>
    <row r="31">
      <c r="A31" s="23" t="inlineStr">
        <is>
          <t>三、交易后权重</t>
        </is>
      </c>
    </row>
    <row r="32">
      <c r="A32" s="4" t="inlineStr">
        <is>
          <t>项目</t>
        </is>
      </c>
      <c r="B32" s="4" t="inlineStr">
        <is>
          <t>未调整</t>
        </is>
      </c>
      <c r="C32" s="4" t="inlineStr">
        <is>
          <t>方案A</t>
        </is>
      </c>
      <c r="D32" s="4" t="inlineStr">
        <is>
          <t>方案B</t>
        </is>
      </c>
    </row>
    <row r="33">
      <c r="A33" s="24" t="inlineStr">
        <is>
          <t>光伏权重</t>
        </is>
      </c>
      <c r="B33" s="19">
        <f>B24/B29</f>
        <v/>
      </c>
      <c r="C33" s="19">
        <f>C24/C29</f>
        <v/>
      </c>
      <c r="D33" s="19">
        <f>D24/D29</f>
        <v/>
      </c>
    </row>
    <row r="34">
      <c r="A34" s="24" t="inlineStr">
        <is>
          <t>电池权重</t>
        </is>
      </c>
      <c r="B34" s="19">
        <f>B25/B29</f>
        <v/>
      </c>
      <c r="C34" s="19">
        <f>C25/C29</f>
        <v/>
      </c>
      <c r="D34" s="19">
        <f>D25/D29</f>
        <v/>
      </c>
    </row>
    <row r="35">
      <c r="A35" s="25" t="inlineStr">
        <is>
          <t>新能源合计权重</t>
        </is>
      </c>
      <c r="B35" s="27">
        <f>B33+B34</f>
        <v/>
      </c>
      <c r="C35" s="27">
        <f>C33+C34</f>
        <v/>
      </c>
      <c r="D35" s="27">
        <f>D33+D34</f>
        <v/>
      </c>
    </row>
    <row r="36">
      <c r="A36" s="24" t="inlineStr">
        <is>
          <t>公用权重</t>
        </is>
      </c>
      <c r="B36" s="19">
        <f>B26/B29</f>
        <v/>
      </c>
      <c r="C36" s="19">
        <f>C26/C29</f>
        <v/>
      </c>
      <c r="D36" s="19">
        <f>D26/D29</f>
        <v/>
      </c>
    </row>
    <row r="37">
      <c r="A37" s="24" t="inlineStr">
        <is>
          <t>ETF权重</t>
        </is>
      </c>
      <c r="B37" s="19">
        <f>B27/B29</f>
        <v/>
      </c>
      <c r="C37" s="19">
        <f>C27/C29</f>
        <v/>
      </c>
      <c r="D37" s="19">
        <f>D27/D29</f>
        <v/>
      </c>
    </row>
    <row r="38">
      <c r="A38" s="24" t="inlineStr">
        <is>
          <t>现金权重</t>
        </is>
      </c>
      <c r="B38" s="19">
        <f>B28/B29</f>
        <v/>
      </c>
      <c r="C38" s="19">
        <f>C28/C29</f>
        <v/>
      </c>
      <c r="D38" s="19">
        <f>D28/D29</f>
        <v/>
      </c>
    </row>
    <row r="39">
      <c r="A39" s="25" t="inlineStr">
        <is>
          <t>权重合计</t>
        </is>
      </c>
      <c r="B39" s="27">
        <f>B33+B34+B36+B37+B38</f>
        <v/>
      </c>
      <c r="C39" s="27">
        <f>C33+C34+C36+C37+C38</f>
        <v/>
      </c>
      <c r="D39" s="27">
        <f>D33+D34+D36+D37+D38</f>
        <v/>
      </c>
    </row>
    <row r="41">
      <c r="A41" s="23" t="inlineStr">
        <is>
          <t>四、联动情景损失（光伏/电池-25%，公用-8%，ETF-12%，现金不变）</t>
        </is>
      </c>
    </row>
    <row r="42">
      <c r="A42" s="4" t="inlineStr">
        <is>
          <t>项目</t>
        </is>
      </c>
      <c r="B42" s="4" t="inlineStr">
        <is>
          <t>未调整</t>
        </is>
      </c>
      <c r="C42" s="4" t="inlineStr">
        <is>
          <t>方案A</t>
        </is>
      </c>
      <c r="D42" s="4" t="inlineStr">
        <is>
          <t>方案B</t>
        </is>
      </c>
    </row>
    <row r="43">
      <c r="A43" s="24" t="inlineStr">
        <is>
          <t>光伏冲击损失(元)</t>
        </is>
      </c>
      <c r="B43" s="13">
        <f>B24*0.25</f>
        <v/>
      </c>
      <c r="C43" s="13">
        <f>C24*0.25</f>
        <v/>
      </c>
      <c r="D43" s="13">
        <f>D24*0.25</f>
        <v/>
      </c>
    </row>
    <row r="44">
      <c r="A44" s="24" t="inlineStr">
        <is>
          <t>电池冲击损失(元)</t>
        </is>
      </c>
      <c r="B44" s="13">
        <f>B25*0.25</f>
        <v/>
      </c>
      <c r="C44" s="13">
        <f>C25*0.25</f>
        <v/>
      </c>
      <c r="D44" s="13">
        <f>D25*0.25</f>
        <v/>
      </c>
    </row>
    <row r="45">
      <c r="A45" s="24" t="inlineStr">
        <is>
          <t>公用冲击损失(元)</t>
        </is>
      </c>
      <c r="B45" s="13">
        <f>B26*0.08</f>
        <v/>
      </c>
      <c r="C45" s="13">
        <f>C26*0.08</f>
        <v/>
      </c>
      <c r="D45" s="13">
        <f>D26*0.08</f>
        <v/>
      </c>
    </row>
    <row r="46">
      <c r="A46" s="24" t="inlineStr">
        <is>
          <t>ETF冲击损失(元)</t>
        </is>
      </c>
      <c r="B46" s="13">
        <f>B27*0.12</f>
        <v/>
      </c>
      <c r="C46" s="13">
        <f>C27*0.12</f>
        <v/>
      </c>
      <c r="D46" s="13">
        <f>D27*0.12</f>
        <v/>
      </c>
    </row>
    <row r="47">
      <c r="A47" s="25" t="inlineStr">
        <is>
          <t>联动损失合计(元)</t>
        </is>
      </c>
      <c r="B47" s="26">
        <f>SUM(B43:B46)</f>
        <v/>
      </c>
      <c r="C47" s="26">
        <f>SUM(C43:C46)</f>
        <v/>
      </c>
      <c r="D47" s="26">
        <f>SUM(D43:D46)</f>
        <v/>
      </c>
    </row>
    <row r="48">
      <c r="A48" s="25" t="inlineStr">
        <is>
          <t>联动损失率</t>
        </is>
      </c>
      <c r="B48" s="27">
        <f>B47/B29</f>
        <v/>
      </c>
      <c r="C48" s="27">
        <f>C47/C29</f>
        <v/>
      </c>
      <c r="D48" s="27">
        <f>D47/D29</f>
        <v/>
      </c>
    </row>
    <row r="50">
      <c r="A50" s="23" t="inlineStr">
        <is>
          <t>五、四项硬约束逐条判定</t>
        </is>
      </c>
    </row>
    <row r="51">
      <c r="A51" s="4" t="inlineStr">
        <is>
          <t>约束</t>
        </is>
      </c>
      <c r="B51" s="4" t="inlineStr">
        <is>
          <t>阈值</t>
        </is>
      </c>
      <c r="C51" s="4" t="inlineStr">
        <is>
          <t>未调整</t>
        </is>
      </c>
      <c r="D51" s="4" t="inlineStr">
        <is>
          <t>方案A</t>
        </is>
      </c>
      <c r="E51" s="4" t="inlineStr">
        <is>
          <t>方案B</t>
        </is>
      </c>
    </row>
    <row r="52">
      <c r="A52" s="24" t="inlineStr">
        <is>
          <t>单票光伏权重</t>
        </is>
      </c>
      <c r="B52" s="13" t="inlineStr">
        <is>
          <t>≤25%</t>
        </is>
      </c>
      <c r="C52" s="19">
        <f>B33</f>
        <v/>
      </c>
      <c r="D52" s="19">
        <f>C33</f>
        <v/>
      </c>
      <c r="E52" s="19">
        <f>D33</f>
        <v/>
      </c>
    </row>
    <row r="53">
      <c r="A53" s="24" t="inlineStr">
        <is>
          <t>单票电池权重</t>
        </is>
      </c>
      <c r="B53" s="13" t="inlineStr">
        <is>
          <t>≤25%</t>
        </is>
      </c>
      <c r="C53" s="19">
        <f>B34</f>
        <v/>
      </c>
      <c r="D53" s="19">
        <f>C34</f>
        <v/>
      </c>
      <c r="E53" s="19">
        <f>D34</f>
        <v/>
      </c>
    </row>
    <row r="54">
      <c r="A54" s="24" t="inlineStr">
        <is>
          <t>新能源合计权重</t>
        </is>
      </c>
      <c r="B54" s="13" t="inlineStr">
        <is>
          <t>≤45%</t>
        </is>
      </c>
      <c r="C54" s="19">
        <f>B35</f>
        <v/>
      </c>
      <c r="D54" s="19">
        <f>C35</f>
        <v/>
      </c>
      <c r="E54" s="19">
        <f>D35</f>
        <v/>
      </c>
    </row>
    <row r="55">
      <c r="A55" s="24" t="inlineStr">
        <is>
          <t>现金(元)</t>
        </is>
      </c>
      <c r="B55" s="13" t="inlineStr">
        <is>
          <t>≥30万</t>
        </is>
      </c>
      <c r="C55" s="13">
        <f>B28</f>
        <v/>
      </c>
      <c r="D55" s="13">
        <f>C28</f>
        <v/>
      </c>
      <c r="E55" s="13">
        <f>D28</f>
        <v/>
      </c>
    </row>
    <row r="56">
      <c r="A56" s="24" t="inlineStr">
        <is>
          <t>联动损失率</t>
        </is>
      </c>
      <c r="B56" s="13" t="inlineStr">
        <is>
          <t>≤12%</t>
        </is>
      </c>
      <c r="C56" s="19">
        <f>B48</f>
        <v/>
      </c>
      <c r="D56" s="19">
        <f>C48</f>
        <v/>
      </c>
      <c r="E56" s="19">
        <f>D48</f>
        <v/>
      </c>
    </row>
    <row r="57">
      <c r="A57" s="24" t="inlineStr">
        <is>
          <t>光伏判定</t>
        </is>
      </c>
      <c r="B57" s="13" t="inlineStr"/>
      <c r="C57" s="13">
        <f>IF(B33&lt;=0.25,"达标","超限")</f>
        <v/>
      </c>
      <c r="D57" s="13">
        <f>IF(C33&lt;=0.25,"达标","超限")</f>
        <v/>
      </c>
      <c r="E57" s="13">
        <f>IF(D33&lt;=0.25,"达标","超限")</f>
        <v/>
      </c>
    </row>
    <row r="58">
      <c r="A58" s="24" t="inlineStr">
        <is>
          <t>电池判定</t>
        </is>
      </c>
      <c r="B58" s="13" t="inlineStr"/>
      <c r="C58" s="13">
        <f>IF(B34&lt;=0.25,"达标","超限")</f>
        <v/>
      </c>
      <c r="D58" s="13">
        <f>IF(C34&lt;=0.25,"达标","超限")</f>
        <v/>
      </c>
      <c r="E58" s="13">
        <f>IF(D34&lt;=0.25,"达标","超限")</f>
        <v/>
      </c>
    </row>
    <row r="59">
      <c r="A59" s="24" t="inlineStr">
        <is>
          <t>新能源判定</t>
        </is>
      </c>
      <c r="B59" s="13" t="inlineStr"/>
      <c r="C59" s="13">
        <f>IF(B35&lt;=0.45,"达标","超限")</f>
        <v/>
      </c>
      <c r="D59" s="13">
        <f>IF(C35&lt;=0.45,"达标","超限")</f>
        <v/>
      </c>
      <c r="E59" s="13">
        <f>IF(D35&lt;=0.45,"达标","超限")</f>
        <v/>
      </c>
    </row>
    <row r="60">
      <c r="A60" s="24" t="inlineStr">
        <is>
          <t>现金判定</t>
        </is>
      </c>
      <c r="B60" s="13" t="inlineStr"/>
      <c r="C60" s="13">
        <f>IF(B28&gt;=300000,"达标","超限")</f>
        <v/>
      </c>
      <c r="D60" s="13">
        <f>IF(C28&gt;=300000,"达标","超限")</f>
        <v/>
      </c>
      <c r="E60" s="13">
        <f>IF(D28&gt;=300000,"达标","超限")</f>
        <v/>
      </c>
    </row>
    <row r="61">
      <c r="A61" s="24" t="inlineStr">
        <is>
          <t>联动判定</t>
        </is>
      </c>
      <c r="B61" s="13" t="inlineStr"/>
      <c r="C61" s="13">
        <f>IF(B48&lt;=0.12,"达标","超限")</f>
        <v/>
      </c>
      <c r="D61" s="13">
        <f>IF(C48&lt;=0.12,"达标","超限")</f>
        <v/>
      </c>
      <c r="E61" s="13">
        <f>IF(D48&lt;=0.12,"达标","超限")</f>
        <v/>
      </c>
    </row>
    <row r="62">
      <c r="A62" s="25" t="inlineStr">
        <is>
          <t>全部满足</t>
        </is>
      </c>
      <c r="B62" s="26" t="inlineStr"/>
      <c r="C62" s="26">
        <f>IF(AND(B33&lt;=0.25,B34&lt;=0.25,B35&lt;=0.45,B28&gt;=300000,B48&lt;=0.12),"是","否")</f>
        <v/>
      </c>
      <c r="D62" s="26">
        <f>IF(AND(C33&lt;=0.25,C34&lt;=0.25,C35&lt;=0.45,C28&gt;=300000,C48&lt;=0.12),"是","否")</f>
        <v/>
      </c>
      <c r="E62" s="26">
        <f>IF(AND(D33&lt;=0.25,D34&lt;=0.25,D35&lt;=0.45,D28&gt;=300000,D48&lt;=0.12),"是","否")</f>
        <v/>
      </c>
    </row>
    <row r="64">
      <c r="A64" s="23" t="inlineStr">
        <is>
          <t>六、已实现盈亏（扣费后）</t>
        </is>
      </c>
    </row>
    <row r="65">
      <c r="A65" s="4" t="inlineStr">
        <is>
          <t>项目</t>
        </is>
      </c>
      <c r="B65" s="4" t="inlineStr"/>
      <c r="C65" s="4" t="inlineStr">
        <is>
          <t>方案A</t>
        </is>
      </c>
      <c r="D65" s="4" t="inlineStr">
        <is>
          <t>方案B</t>
        </is>
      </c>
    </row>
    <row r="66">
      <c r="A66" s="24" t="inlineStr">
        <is>
          <t>光伏实现盈亏(元)</t>
        </is>
      </c>
      <c r="B66" s="13" t="inlineStr"/>
      <c r="C66" s="13">
        <f>C6*('账户核对'!G6-'账户核对'!D6/'账户核对'!C6)-C15</f>
        <v/>
      </c>
      <c r="D66" s="13">
        <f>D6*('账户核对'!G6-'账户核对'!D6/'账户核对'!C6)-D15</f>
        <v/>
      </c>
    </row>
    <row r="67">
      <c r="A67" s="24" t="inlineStr">
        <is>
          <t>电池实现盈亏(元)</t>
        </is>
      </c>
      <c r="B67" s="13" t="inlineStr"/>
      <c r="C67" s="13">
        <f>C7*('账户核对'!G7-'账户核对'!D7/'账户核对'!C7)-C16</f>
        <v/>
      </c>
      <c r="D67" s="13">
        <f>D7*('账户核对'!G7-'账户核对'!D7/'账户核对'!C7)-D16</f>
        <v/>
      </c>
    </row>
    <row r="68">
      <c r="A68" s="24" t="inlineStr">
        <is>
          <t>公用实现盈亏(元)</t>
        </is>
      </c>
      <c r="B68" s="13" t="inlineStr"/>
      <c r="C68" s="13">
        <f>C9*('账户核对'!G9-'账户核对'!D9/'账户核对'!C9)-C17</f>
        <v/>
      </c>
      <c r="D68" s="13">
        <f>D9*('账户核对'!G9-'账户核对'!D9/'账户核对'!C9)-D17</f>
        <v/>
      </c>
    </row>
    <row r="69">
      <c r="A69" s="24" t="inlineStr">
        <is>
          <t>ETF实现盈亏(元)</t>
        </is>
      </c>
      <c r="B69" s="13" t="inlineStr"/>
      <c r="C69" s="13">
        <f>C10*('账户核对'!G10-'账户核对'!D10/'账户核对'!C10)-C18</f>
        <v/>
      </c>
      <c r="D69" s="13">
        <f>D10*('账户核对'!G10-'账户核对'!D10/'账户核对'!C10)-D18</f>
        <v/>
      </c>
    </row>
    <row r="70">
      <c r="A70" s="25" t="inlineStr">
        <is>
          <t>已实现盈亏合计(元)</t>
        </is>
      </c>
      <c r="B70" s="26" t="inlineStr"/>
      <c r="C70" s="26">
        <f>SUM(C66:C69)</f>
        <v/>
      </c>
      <c r="D70" s="26">
        <f>SUM(D66:D69)</f>
        <v/>
      </c>
    </row>
    <row r="72">
      <c r="A72" s="23" t="inlineStr">
        <is>
          <t>七、客户坚持保留全部电池股（不卖电池）的约束分析</t>
        </is>
      </c>
    </row>
    <row r="73">
      <c r="A73" s="22" t="inlineStr">
        <is>
          <t>即使卖掉全部光伏/公用/ETF、一股电池不卖，电池市值仍为600,000元。</t>
        </is>
      </c>
    </row>
    <row r="74">
      <c r="A74" s="4" t="inlineStr">
        <is>
          <t>项目</t>
        </is>
      </c>
      <c r="B74" s="4" t="inlineStr">
        <is>
          <t>数值</t>
        </is>
      </c>
      <c r="C74" s="4" t="inlineStr">
        <is>
          <t>说明</t>
        </is>
      </c>
    </row>
    <row r="75">
      <c r="A75" s="24" t="inlineStr">
        <is>
          <t>电池市值(元)</t>
        </is>
      </c>
      <c r="B75" s="13">
        <f>('账户核对'!C7+'账户核对'!C8)*'账户核对'!G7</f>
        <v/>
      </c>
      <c r="C75" s="24" t="inlineStr">
        <is>
          <t>两股批次合计</t>
        </is>
      </c>
    </row>
    <row r="76">
      <c r="A76" s="24" t="inlineStr">
        <is>
          <t>此时净资产(元)</t>
        </is>
      </c>
      <c r="B76" s="13">
        <f>'账户核对'!D12+'账户核对'!C6*'账户核对'!G6-MAX('账户核对'!C6*'账户核对'!G6*'账户核对'!D13,'账户核对'!D15)+'账户核对'!C9*'账户核对'!G9-MAX('账户核对'!C9*'账户核对'!G9*'账户核对'!D13,'账户核对'!D15)+'账户核对'!C10*'账户核对'!G10-MAX('账户核对'!C10*'账户核对'!G10*'账户核对'!D14,'账户核对'!D15)+('账户核对'!C7+'账户核对'!C8)*'账户核对'!G7</f>
        <v/>
      </c>
      <c r="C76" s="24" t="inlineStr">
        <is>
          <t>卖出全部非电池持仓后</t>
        </is>
      </c>
    </row>
    <row r="77">
      <c r="A77" s="24" t="inlineStr">
        <is>
          <t>电池权重</t>
        </is>
      </c>
      <c r="B77" s="19">
        <f>('账户核对'!C7+'账户核对'!C8)*'账户核对'!G7/B76</f>
        <v/>
      </c>
      <c r="C77" s="24" t="inlineStr">
        <is>
          <t>单票≤25%</t>
        </is>
      </c>
    </row>
    <row r="78">
      <c r="A78" s="24" t="inlineStr">
        <is>
          <t>满足25%所需净资产(元)</t>
        </is>
      </c>
      <c r="B78" s="13">
        <f>('账户核对'!C7+'账户核对'!C8)*'账户核对'!G7/0.25</f>
        <v/>
      </c>
      <c r="C78" s="24" t="inlineStr">
        <is>
          <t>电池市值÷25%</t>
        </is>
      </c>
    </row>
    <row r="79">
      <c r="A79" s="24" t="inlineStr">
        <is>
          <t>资金缺口(元)</t>
        </is>
      </c>
      <c r="B79" s="13">
        <f>B78-B76</f>
        <v/>
      </c>
      <c r="C79" s="24" t="inlineStr">
        <is>
          <t>需追加外部资金</t>
        </is>
      </c>
    </row>
    <row r="80">
      <c r="A80" s="24" t="inlineStr">
        <is>
          <t>联动损失率</t>
        </is>
      </c>
      <c r="B80" s="19">
        <f>('账户核对'!C7+'账户核对'!C8)*'账户核对'!G7*0.25/B76</f>
        <v/>
      </c>
      <c r="C80" s="24" t="inlineStr">
        <is>
          <t>仅电池冲击</t>
        </is>
      </c>
    </row>
    <row r="81">
      <c r="A81" s="25" t="inlineStr">
        <is>
          <t>结论</t>
        </is>
      </c>
      <c r="B81" s="26" t="inlineStr">
        <is>
          <t>单票25%无法通过卖其他品种满足</t>
        </is>
      </c>
      <c r="C81" s="24" t="inlineStr">
        <is>
          <t>须追加约41万外部资金，或放松单票上限至约30.2%；不替客户默许提高风险预算</t>
        </is>
      </c>
    </row>
    <row r="83">
      <c r="A83" s="23" t="inlineStr">
        <is>
          <t>八、次日（9/9 周三）新能源续跌5%情景（以方案B为起点）</t>
        </is>
      </c>
    </row>
    <row r="84">
      <c r="A84" s="22" t="inlineStr">
        <is>
          <t>先计入光伏/电池各跌5%，以此刻持仓+现金为新分母（不重扣今日费用），再施加联动冲击；5%不重复计入联动损失。</t>
        </is>
      </c>
    </row>
    <row r="85">
      <c r="A85" s="4" t="inlineStr">
        <is>
          <t>项目</t>
        </is>
      </c>
      <c r="B85" s="4" t="inlineStr">
        <is>
          <t>数值</t>
        </is>
      </c>
      <c r="C85" s="4" t="inlineStr">
        <is>
          <t>说明</t>
        </is>
      </c>
    </row>
    <row r="86">
      <c r="A86" s="24" t="inlineStr">
        <is>
          <t>今日B方案光伏(元)</t>
        </is>
      </c>
      <c r="B86" s="13">
        <f>D24</f>
        <v/>
      </c>
    </row>
    <row r="87">
      <c r="A87" s="24" t="inlineStr">
        <is>
          <t>今日B方案电池(元)</t>
        </is>
      </c>
      <c r="B87" s="13">
        <f>D25</f>
        <v/>
      </c>
    </row>
    <row r="88">
      <c r="A88" s="24" t="inlineStr">
        <is>
          <t>今日B方案公用(元)</t>
        </is>
      </c>
      <c r="B88" s="13">
        <f>D26</f>
        <v/>
      </c>
    </row>
    <row r="89">
      <c r="A89" s="24" t="inlineStr">
        <is>
          <t>今日B方案现金(元)</t>
        </is>
      </c>
      <c r="B89" s="13">
        <f>D28</f>
        <v/>
      </c>
    </row>
    <row r="90">
      <c r="A90" s="24" t="inlineStr">
        <is>
          <t>次日光伏(跌5%)</t>
        </is>
      </c>
      <c r="B90" s="13">
        <f>B86*0.95</f>
        <v/>
      </c>
    </row>
    <row r="91">
      <c r="A91" s="24" t="inlineStr">
        <is>
          <t>次日电池(跌5%)</t>
        </is>
      </c>
      <c r="B91" s="13">
        <f>B87*0.95</f>
        <v/>
      </c>
    </row>
    <row r="92">
      <c r="A92" s="24" t="inlineStr">
        <is>
          <t>5%下跌损失(元)</t>
        </is>
      </c>
      <c r="B92" s="13">
        <f>B86*0.05+B87*0.05</f>
        <v/>
      </c>
      <c r="C92" s="24" t="inlineStr">
        <is>
          <t>光伏+电池各5%</t>
        </is>
      </c>
    </row>
    <row r="93">
      <c r="A93" s="24" t="inlineStr">
        <is>
          <t>次日新分母(元)</t>
        </is>
      </c>
      <c r="B93" s="13">
        <f>B90+B91+B88+B89</f>
        <v/>
      </c>
      <c r="C93" s="24" t="inlineStr">
        <is>
          <t>5%后未加联动</t>
        </is>
      </c>
    </row>
    <row r="94">
      <c r="A94" s="24" t="inlineStr">
        <is>
          <t>联动损失额(元)</t>
        </is>
      </c>
      <c r="B94" s="13">
        <f>B90*0.25+B91*0.25+B88*0.08</f>
        <v/>
      </c>
      <c r="C94" s="24" t="inlineStr">
        <is>
          <t>ETF已清仓</t>
        </is>
      </c>
    </row>
    <row r="95">
      <c r="A95" s="24" t="inlineStr">
        <is>
          <t>次日联动损失率</t>
        </is>
      </c>
      <c r="B95" s="19">
        <f>B94/B93</f>
        <v/>
      </c>
      <c r="C95" s="24" t="inlineStr">
        <is>
          <t>阈值≤12%</t>
        </is>
      </c>
    </row>
    <row r="96">
      <c r="A96" s="24" t="inlineStr">
        <is>
          <t>次日电池权重</t>
        </is>
      </c>
      <c r="B96" s="19">
        <f>B91/B93</f>
        <v/>
      </c>
      <c r="C96" s="24" t="inlineStr">
        <is>
          <t>阈值≤25%</t>
        </is>
      </c>
    </row>
    <row r="97">
      <c r="A97" s="24" t="inlineStr">
        <is>
          <t>次日新能源权重</t>
        </is>
      </c>
      <c r="B97" s="19">
        <f>(B90+B91)/B93</f>
        <v/>
      </c>
      <c r="C97" s="24" t="inlineStr">
        <is>
          <t>阈值≤45%</t>
        </is>
      </c>
    </row>
    <row r="99">
      <c r="A99" s="23" t="inlineStr">
        <is>
          <t>九、最小整手验证</t>
        </is>
      </c>
    </row>
    <row r="100">
      <c r="A100" s="4" t="inlineStr">
        <is>
          <t>验证项</t>
        </is>
      </c>
      <c r="B100" s="4" t="inlineStr">
        <is>
          <t>卖出量</t>
        </is>
      </c>
      <c r="C100" s="4" t="inlineStr">
        <is>
          <t>少一手后</t>
        </is>
      </c>
      <c r="D100" s="4" t="inlineStr">
        <is>
          <t>判定</t>
        </is>
      </c>
    </row>
    <row r="101">
      <c r="A101" s="24" t="inlineStr">
        <is>
          <t>光伏少100股</t>
        </is>
      </c>
      <c r="B101" s="13" t="inlineStr">
        <is>
          <t>3900</t>
        </is>
      </c>
      <c r="C101" s="13" t="inlineStr">
        <is>
          <t>新能源45.11%</t>
        </is>
      </c>
      <c r="D101" s="13" t="inlineStr">
        <is>
          <t>回到超限</t>
        </is>
      </c>
    </row>
    <row r="102">
      <c r="A102" s="24" t="inlineStr">
        <is>
          <t>电池少100股</t>
        </is>
      </c>
      <c r="B102" s="13" t="inlineStr">
        <is>
          <t>3400</t>
        </is>
      </c>
      <c r="C102" s="13" t="inlineStr">
        <is>
          <t>电池25.03%</t>
        </is>
      </c>
      <c r="D102" s="13" t="inlineStr">
        <is>
          <t>回到超限</t>
        </is>
      </c>
    </row>
    <row r="103">
      <c r="A103" s="24" t="inlineStr">
        <is>
          <t>公用少100股</t>
        </is>
      </c>
      <c r="B103" s="13" t="inlineStr">
        <is>
          <t>11200</t>
        </is>
      </c>
      <c r="C103" s="13" t="inlineStr">
        <is>
          <t>联动12.003%</t>
        </is>
      </c>
      <c r="D103" s="13" t="inlineStr">
        <is>
          <t>回到超限</t>
        </is>
      </c>
    </row>
    <row r="104">
      <c r="A104" s="25" t="inlineStr">
        <is>
          <t>方案B各卖出量均为满足约束的最小整手。</t>
        </is>
      </c>
      <c r="B104" s="28" t="n"/>
      <c r="C104" s="28" t="n"/>
      <c r="D104" s="28" t="n"/>
    </row>
    <row r="106">
      <c r="A106" s="23" t="inlineStr">
        <is>
          <t>十、if→then 交易纪律</t>
        </is>
      </c>
    </row>
    <row r="107">
      <c r="A107" s="4" t="inlineStr">
        <is>
          <t>规则号</t>
        </is>
      </c>
      <c r="B107" s="4" t="inlineStr">
        <is>
          <t>触发条件</t>
        </is>
      </c>
      <c r="C107" s="4" t="inlineStr">
        <is>
          <t>动作</t>
        </is>
      </c>
      <c r="D107" s="4" t="inlineStr">
        <is>
          <t>数量/口径</t>
        </is>
      </c>
      <c r="E107" s="4" t="inlineStr">
        <is>
          <t>执行时点</t>
        </is>
      </c>
      <c r="F107" s="4" t="inlineStr">
        <is>
          <t>未成交后手</t>
        </is>
      </c>
      <c r="G107" s="4" t="inlineStr">
        <is>
          <t>复核项</t>
        </is>
      </c>
    </row>
    <row r="108">
      <c r="A108" s="29" t="inlineStr">
        <is>
          <t>R1</t>
        </is>
      </c>
      <c r="B108" s="29" t="inlineStr">
        <is>
          <t>9/8收盘前报价正常、可卖数≥拟卖量、未跌停</t>
        </is>
      </c>
      <c r="C108" s="29" t="inlineStr">
        <is>
          <t>卖出光伏4000、电池旧批次3500、公用11300、ETF全部120000份</t>
        </is>
      </c>
      <c r="D108" s="29" t="inlineStr">
        <is>
          <t>累计卖出量；基准14:30持仓</t>
        </is>
      </c>
      <c r="E108" s="29" t="inlineStr">
        <is>
          <t>9/8收盘前限价挂单</t>
        </is>
      </c>
      <c r="F108" s="29" t="inlineStr">
        <is>
          <t>未成交部分转R2</t>
        </is>
      </c>
      <c r="G108" s="29" t="inlineStr">
        <is>
          <t>交易后五项约束复核</t>
        </is>
      </c>
    </row>
    <row r="109">
      <c r="A109" s="29" t="inlineStr">
        <is>
          <t>R2</t>
        </is>
      </c>
      <c r="B109" s="29" t="inlineStr">
        <is>
          <t>光伏/电池跌停或无买盘</t>
        </is>
      </c>
      <c r="C109" s="29" t="inlineStr">
        <is>
          <t>当日不强卖新能源；已成交公用/ETF保留</t>
        </is>
      </c>
      <c r="D109" s="29" t="inlineStr">
        <is>
          <t>未成交量记0</t>
        </is>
      </c>
      <c r="E109" s="29" t="inlineStr">
        <is>
          <t>9/8收盘后</t>
        </is>
      </c>
      <c r="F109" s="29" t="inlineStr">
        <is>
          <t>次日开盘挂卖；仍跌停见R3</t>
        </is>
      </c>
      <c r="G109" s="29" t="inlineStr">
        <is>
          <t>跌停期间禁止加仓新能源</t>
        </is>
      </c>
    </row>
    <row r="110">
      <c r="A110" s="29" t="inlineStr">
        <is>
          <t>R3</t>
        </is>
      </c>
      <c r="B110" s="29" t="inlineStr">
        <is>
          <t>次日新能源续跌5%</t>
        </is>
      </c>
      <c r="C110" s="29" t="inlineStr">
        <is>
          <t>不追加卖出；按第八节重算约束</t>
        </is>
      </c>
      <c r="D110" s="29" t="inlineStr">
        <is>
          <t>—</t>
        </is>
      </c>
      <c r="E110" s="29" t="inlineStr">
        <is>
          <t>9/9开盘后</t>
        </is>
      </c>
      <c r="F110" s="29" t="inlineStr">
        <is>
          <t>联动≤12%且权重达标则持有</t>
        </is>
      </c>
      <c r="G110" s="29" t="inlineStr">
        <is>
          <t>次日五项约束复核</t>
        </is>
      </c>
    </row>
    <row r="111">
      <c r="A111" s="29" t="inlineStr">
        <is>
          <t>R4</t>
        </is>
      </c>
      <c r="B111" s="29" t="inlineStr">
        <is>
          <t>次日反弹使电池权重&gt;25%</t>
        </is>
      </c>
      <c r="C111" s="29" t="inlineStr">
        <is>
          <t>卖电池旧批次至电池权重24.9%</t>
        </is>
      </c>
      <c r="D111" s="29" t="inlineStr">
        <is>
          <t>本阶段追加量；按实时价反解整手</t>
        </is>
      </c>
      <c r="E111" s="29" t="inlineStr">
        <is>
          <t>9/9盘中</t>
        </is>
      </c>
      <c r="F111" s="29" t="inlineStr">
        <is>
          <t>跌停则等下一交易日</t>
        </is>
      </c>
      <c r="G111" s="29" t="inlineStr">
        <is>
          <t>现金≥30万、联动≤12%</t>
        </is>
      </c>
    </row>
    <row r="112">
      <c r="A112" s="29" t="inlineStr">
        <is>
          <t>R5</t>
        </is>
      </c>
      <c r="B112" s="29" t="inlineStr">
        <is>
          <t>任何约束超限期间</t>
        </is>
      </c>
      <c r="C112" s="29" t="inlineStr">
        <is>
          <t>禁止加仓/回补/做T新能源</t>
        </is>
      </c>
      <c r="D112" s="29" t="inlineStr">
        <is>
          <t>—</t>
        </is>
      </c>
      <c r="E112" s="29" t="inlineStr">
        <is>
          <t>持续有效</t>
        </is>
      </c>
      <c r="F112" s="29" t="inlineStr">
        <is>
          <t>—</t>
        </is>
      </c>
      <c r="G112" s="29" t="inlineStr">
        <is>
          <t>复核回限内再评估</t>
        </is>
      </c>
    </row>
    <row r="113">
      <c r="A113" s="29" t="inlineStr">
        <is>
          <t>R6</t>
        </is>
      </c>
      <c r="B113" s="29" t="inlineStr">
        <is>
          <t>9/9开盘前</t>
        </is>
      </c>
      <c r="C113" s="29" t="inlineStr">
        <is>
          <t>确认今日买入电池4000股已可卖；复核实时价/涨跌停/可卖数</t>
        </is>
      </c>
      <c r="D113" s="29" t="inlineStr">
        <is>
          <t>—</t>
        </is>
      </c>
      <c r="E113" s="29" t="inlineStr">
        <is>
          <t>9/9 9:15前</t>
        </is>
      </c>
      <c r="F113" s="29" t="inlineStr">
        <is>
          <t>报价偏差&gt;2%则重反解</t>
        </is>
      </c>
      <c r="G113" s="29" t="inlineStr">
        <is>
          <t>以实际可卖数和报价重算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客户沟通说明（可直接使用）</t>
        </is>
      </c>
    </row>
    <row r="2">
      <c r="A2" s="2" t="inlineStr">
        <is>
          <t>以下文字供投资经理与客户收盘沟通时使用，数据以14:30买一价测算，成交前需复核盘口。</t>
        </is>
      </c>
    </row>
    <row r="3"/>
    <row r="4">
      <c r="A4" s="30" t="inlineStr">
        <is>
          <t>一、账户现状（9月8日14:30）</t>
        </is>
      </c>
    </row>
    <row r="5" ht="128" customHeight="1">
      <c r="A5" s="31" t="inlineStr">
        <is>
          <t>账户净资产199.0万元，较13:00汇总页203.0万元减少4.0万元，全部来自光伏和电池的价格下跌（光伏26→25元、电池31→30元），无现金流出。现金23.0万元，低于30.0万元的内部下限。
持仓浮动盈亏：光伏-10.0万元、电池-8.2万元（含今日上午补仓的4000股-0.2万元）、公用事业+6.0万元、宽基ETF+2.4万元。
四项内部约束当前全部不达标：单票光伏占比25.1%、单票电池占比30.2%、新能源合计55.3%、联动情景损失率17.2%。现金缺口7.0万元。</t>
        </is>
      </c>
    </row>
    <row r="6">
      <c r="A6" s="30" t="inlineStr">
        <is>
          <t>二、为什么不能只卖赚钱的公用事业</t>
        </is>
      </c>
    </row>
    <row r="7" ht="144" customHeight="1">
      <c r="A7" s="31" t="inlineStr">
        <is>
          <t>您提出只卖掉盈利的公用事业股票、保留亏损的电池股等反弹，我们理解这个想法，但按风控口径测算后不可行：
如果把公用事业和宽基ETF全部卖出（合计回笼约65.9万元，费用538元），现金会升至88.9万元，现金约束达标。但光伏和电池一股不卖，单票电池仍占30.2%、新能源合计仍占55.3%、联动情景损失率13.8%——三项核心约束仍然超限。
原因是：联动情景假设光伏和电池同时下跌25%，这部分损失不因为卖出盈利品种而减少。卖公用事业只能回笼现金，无法降低新能源敞口在极端情景下的损失。换句话说，'只卖赚钱的'解决了现金问题，但没有解决集中度和尾部风险问题。</t>
        </is>
      </c>
    </row>
    <row r="8">
      <c r="A8" s="30" t="inlineStr">
        <is>
          <t>三、建议方案：按组合风险减仓</t>
        </is>
      </c>
    </row>
    <row r="9" ht="336" customHeight="1">
      <c r="A9" s="31" t="inlineStr">
        <is>
          <t>在不增加外部资金、不加杠杆的前提下，我们建议今天收盘前执行以下操作（均为100股整数倍）：
1. 卖出光伏4000股（成交价25元，回笼约10.0万元）——这是目前唯一同时拉低单票权重和联动损失的品种；
2. 卖出电池旧批次3500股（成交价30元，回笼约10.5万元）——今日上午补仓的4000股按T+1规则今天不可卖，明天才能卖；
3. 卖出公用事业11300股（成交价10元，回笼约11.3万元）——保留18700股；
4. 卖出宽基ETF全部120000份（成交价3元，回笼约36.0万元）。
四项合计成交额约67.7万元，费用约362元。交易后：
• 净资产约198.9万元；
• 现金约90.7万元（远超30万元下限）；
• 光伏权重20.1%、电池权重24.9%、新能源合计45.0%、联动损失率12.0%——四项约束全部达标。
已实现盈亏合计约+0.87万元（公用事业和ETF的盈利覆盖光伏和电池的小额亏损后仍为正），没有把账面亏损'割肉'在最低点——光伏保留80%、电池保留约75%（旧批次）。</t>
        </is>
      </c>
    </row>
    <row r="10">
      <c r="A10" s="30" t="inlineStr">
        <is>
          <t>四、关于保留电池股</t>
        </is>
      </c>
    </row>
    <row r="11" ht="112" customHeight="1">
      <c r="A11" s="31" t="inlineStr">
        <is>
          <t>我们注意到您希望保留新能源方向一年。方案保留了电池旧批次12500股和今日新补的4000股，合计16500股（市值约49.5万元），不是清仓。卖3500股旧批次的目的是把单票电池权重从30.2%压到25%以内，这是硬约束。
如果您坚持一股电池都不卖，我们必须如实说明：即使卖掉全部光伏、公用和ETF，电池权重仍为30.2%，单票25%的约束无法通过卖出其他品种满足。要做到这一点，需要约41万元的外部资金追加进来，或者由风控审批把单票上限从25%放宽到约30.2%。我们不替您默许提高风险预算，这两条路需要您和风控共同决定。</t>
        </is>
      </c>
    </row>
    <row r="12">
      <c r="A12" s="30" t="inlineStr">
        <is>
          <t>五、明天（9月9日）怎么安排</t>
        </is>
      </c>
    </row>
    <row r="13" ht="128" customHeight="1">
      <c r="A13" s="31" t="inlineStr">
        <is>
          <t>1. 今日新买入的电池4000股明天可卖，开盘前先核对可卖数量和实时报价；
2. 如果明天新能源再跌5%（在今天调整后的基础上），我们按新分母重算：联动损失率约11.7%，各权重仍在限内，不需要追加卖出；
3. 如果明天新能源反弹导致电池权重回到25%以上，我们会卖出电池旧批次把权重压回24.9%；
4. 如果今天任何一笔单子未成交或跌停，我们不强卖，未成交部分顺延到明天开盘处理，跌停解除前不做任何加仓；
5. 在所有约束回到限内之前，我们不会加仓、回补或做T新能源。</t>
        </is>
      </c>
    </row>
    <row r="14">
      <c r="A14" s="30" t="inlineStr">
        <is>
          <t>六、重新评估的触发条件</t>
        </is>
      </c>
    </row>
    <row r="15" ht="160" customHeight="1">
      <c r="A15" s="31" t="inlineStr">
        <is>
          <t>以下任一情况发生时，我们会主动与您沟通重新评估持仓：
• 电池或光伏单季涨幅超过20%，使新能源合计权重回到45%以上；
• 联动情景损失率因价格变动重新超过12%；
• 现金因其他用途低于30万元；
• 基本面出现重大变化（政策、行业景气度、公司业绩）。
本次测算基于14:30买一价，不保证成交价。所有卖出以实际挂单时的盘口为准，成交前我们会再次确认涨跌停和可卖数量。我们不承诺回本，减仓的目的是把组合拉回风控框架内，而不是择时抄底或逃顶。</t>
        </is>
      </c>
    </row>
    <row r="16"/>
    <row r="17">
      <c r="A17" s="3" t="inlineStr">
        <is>
          <t>附：关键数字速览</t>
        </is>
      </c>
    </row>
    <row r="18">
      <c r="A18" s="4" t="inlineStr">
        <is>
          <t>指标</t>
        </is>
      </c>
      <c r="B18" s="4" t="inlineStr">
        <is>
          <t>未调整</t>
        </is>
      </c>
      <c r="C18" s="4" t="inlineStr">
        <is>
          <t>方案A(只卖盈利)</t>
        </is>
      </c>
      <c r="D18" s="4" t="inlineStr">
        <is>
          <t>方案B(风险减仓)</t>
        </is>
      </c>
    </row>
    <row r="19">
      <c r="A19" s="32" t="inlineStr">
        <is>
          <t>净资产(万元)</t>
        </is>
      </c>
      <c r="B19" s="5" t="inlineStr">
        <is>
          <t>199.0</t>
        </is>
      </c>
      <c r="C19" s="5" t="inlineStr">
        <is>
          <t>198.9</t>
        </is>
      </c>
      <c r="D19" s="5" t="inlineStr">
        <is>
          <t>198.9</t>
        </is>
      </c>
    </row>
    <row r="20">
      <c r="A20" s="32" t="inlineStr">
        <is>
          <t>现金(万元)</t>
        </is>
      </c>
      <c r="B20" s="5" t="inlineStr">
        <is>
          <t>23.0</t>
        </is>
      </c>
      <c r="C20" s="5" t="inlineStr">
        <is>
          <t>88.9</t>
        </is>
      </c>
      <c r="D20" s="5" t="inlineStr">
        <is>
          <t>90.7</t>
        </is>
      </c>
    </row>
    <row r="21">
      <c r="A21" s="32" t="inlineStr">
        <is>
          <t>光伏权重</t>
        </is>
      </c>
      <c r="B21" s="5" t="inlineStr">
        <is>
          <t>25.1%</t>
        </is>
      </c>
      <c r="C21" s="5" t="inlineStr">
        <is>
          <t>25.1%</t>
        </is>
      </c>
      <c r="D21" s="5" t="inlineStr">
        <is>
          <t>20.1%</t>
        </is>
      </c>
    </row>
    <row r="22">
      <c r="A22" s="32" t="inlineStr">
        <is>
          <t>电池权重</t>
        </is>
      </c>
      <c r="B22" s="5" t="inlineStr">
        <is>
          <t>30.2%</t>
        </is>
      </c>
      <c r="C22" s="5" t="inlineStr">
        <is>
          <t>30.2%</t>
        </is>
      </c>
      <c r="D22" s="5" t="inlineStr">
        <is>
          <t>24.9%</t>
        </is>
      </c>
    </row>
    <row r="23">
      <c r="A23" s="32" t="inlineStr">
        <is>
          <t>新能源合计</t>
        </is>
      </c>
      <c r="B23" s="5" t="inlineStr">
        <is>
          <t>55.3%</t>
        </is>
      </c>
      <c r="C23" s="5" t="inlineStr">
        <is>
          <t>55.3%</t>
        </is>
      </c>
      <c r="D23" s="5" t="inlineStr">
        <is>
          <t>45.0%</t>
        </is>
      </c>
    </row>
    <row r="24">
      <c r="A24" s="32" t="inlineStr">
        <is>
          <t>联动损失率</t>
        </is>
      </c>
      <c r="B24" s="5" t="inlineStr">
        <is>
          <t>17.2%</t>
        </is>
      </c>
      <c r="C24" s="5" t="inlineStr">
        <is>
          <t>13.8%</t>
        </is>
      </c>
      <c r="D24" s="5" t="inlineStr">
        <is>
          <t>12.0%</t>
        </is>
      </c>
    </row>
    <row r="25">
      <c r="A25" s="32" t="inlineStr">
        <is>
          <t>四项约束</t>
        </is>
      </c>
      <c r="B25" s="5" t="inlineStr">
        <is>
          <t>全部不达标</t>
        </is>
      </c>
      <c r="C25" s="5" t="inlineStr">
        <is>
          <t>仅现金达标</t>
        </is>
      </c>
      <c r="D25" s="5" t="inlineStr">
        <is>
          <t>全部达标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2026-09-18T12:28:29Z</dcterms:created>
  <dcterms:modified xmlns:dcterms="http://purl.org/dc/terms/" xmlns:xsi="http://www.w3.org/2001/XMLSchema-instance" xsi:type="dcterms:W3CDTF">2026-09-18T12:34:10Z</dcterms:modified>
</cp:coreProperties>
</file>