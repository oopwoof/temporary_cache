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决策摘要" sheetId="1" state="visible" r:id="rId1"/>
    <sheet xmlns:r="http://schemas.openxmlformats.org/officeDocument/2006/relationships" name="输入_账户汇总" sheetId="2" state="visible" r:id="rId2"/>
    <sheet xmlns:r="http://schemas.openxmlformats.org/officeDocument/2006/relationships" name="输入_持仓批次" sheetId="3" state="visible" r:id="rId3"/>
    <sheet xmlns:r="http://schemas.openxmlformats.org/officeDocument/2006/relationships" name="输入_行情与状态" sheetId="4" state="visible" r:id="rId4"/>
    <sheet xmlns:r="http://schemas.openxmlformats.org/officeDocument/2006/relationships" name="输入_风险暴露" sheetId="5" state="visible" r:id="rId5"/>
    <sheet xmlns:r="http://schemas.openxmlformats.org/officeDocument/2006/relationships" name="勾稽与双口径" sheetId="6" state="visible" r:id="rId6"/>
    <sheet xmlns:r="http://schemas.openxmlformats.org/officeDocument/2006/relationships" name="交易日历" sheetId="7" state="visible" r:id="rId7"/>
    <sheet xmlns:r="http://schemas.openxmlformats.org/officeDocument/2006/relationships" name="持仓盈亏与批次" sheetId="8" state="visible" r:id="rId8"/>
    <sheet xmlns:r="http://schemas.openxmlformats.org/officeDocument/2006/relationships" name="硬约束状态" sheetId="9" state="visible" r:id="rId9"/>
    <sheet xmlns:r="http://schemas.openxmlformats.org/officeDocument/2006/relationships" name="方案对比" sheetId="10" state="visible" r:id="rId10"/>
    <sheet xmlns:r="http://schemas.openxmlformats.org/officeDocument/2006/relationships" name="交易明细与费用" sheetId="11" state="visible" r:id="rId11"/>
    <sheet xmlns:r="http://schemas.openxmlformats.org/officeDocument/2006/relationships" name="情景与压力" sheetId="12" state="visible" r:id="rId12"/>
    <sheet xmlns:r="http://schemas.openxmlformats.org/officeDocument/2006/relationships" name="条件规则" sheetId="13" state="visible" r:id="rId13"/>
    <sheet xmlns:r="http://schemas.openxmlformats.org/officeDocument/2006/relationships" name="假设与缺失" sheetId="14" state="visible" r:id="rId14"/>
    <sheet xmlns:r="http://schemas.openxmlformats.org/officeDocument/2006/relationships" name="自检回执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3864"/>
      <sz val="14"/>
    </font>
    <font>
      <b val="1"/>
    </font>
    <font>
      <b val="1"/>
      <color rgb="00FFFFFF"/>
      <sz val="11"/>
    </font>
    <font>
      <b val="1"/>
      <color rgb="001F3864"/>
      <sz val="12"/>
    </font>
  </fonts>
  <fills count="7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305496"/>
      </patternFill>
    </fill>
    <fill>
      <patternFill patternType="solid">
        <fgColor rgb="00FFF2CC"/>
      </patternFill>
    </fill>
    <fill>
      <patternFill patternType="solid">
        <fgColor rgb="00C6EFCE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applyAlignment="1" pivotButton="0" quotePrefix="0" xfId="0">
      <alignment vertical="top" wrapText="1"/>
    </xf>
    <xf numFmtId="0" fontId="3" fillId="3" borderId="1" pivotButton="0" quotePrefix="0" xfId="0"/>
    <xf numFmtId="0" fontId="0" fillId="4" borderId="1" pivotButton="0" quotePrefix="0" xfId="0"/>
    <xf numFmtId="0" fontId="3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4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0" fontId="2" fillId="0" borderId="1" pivotButton="0" quotePrefix="0" xfId="0"/>
    <xf numFmtId="0" fontId="0" fillId="5" borderId="1" applyAlignment="1" pivotButton="0" quotePrefix="0" xfId="0">
      <alignment vertical="top" wrapText="1"/>
    </xf>
    <xf numFmtId="4" fontId="0" fillId="0" borderId="1" pivotButton="0" quotePrefix="0" xfId="0"/>
    <xf numFmtId="2" fontId="0" fillId="0" borderId="1" pivotButton="0" quotePrefix="0" xfId="0"/>
    <xf numFmtId="3" fontId="0" fillId="6" borderId="1" pivotButton="0" quotePrefix="0" xfId="0"/>
    <xf numFmtId="10" fontId="0" fillId="0" borderId="1" pivotButton="0" quotePrefix="0" xfId="0"/>
    <xf numFmtId="3" fontId="0" fillId="5" borderId="1" pivotButton="0" quotePrefix="0" xfId="0"/>
    <xf numFmtId="3" fontId="0" fillId="2" borderId="1" pivotButton="0" quotePrefix="0" xfId="0"/>
    <xf numFmtId="10" fontId="0" fillId="2" borderId="1" pivotButton="0" quotePrefix="0" xfId="0"/>
    <xf numFmtId="0" fontId="2" fillId="5" borderId="1" pivotButton="0" quotePrefix="0" xfId="0"/>
    <xf numFmtId="10" fontId="0" fillId="5" borderId="1" pivotButton="0" quotePrefix="0" xfId="0"/>
    <xf numFmtId="0" fontId="0" fillId="6" borderId="1" applyAlignment="1" pivotButton="0" quotePrefix="0" xfId="0">
      <alignment vertical="top" wrapText="1"/>
    </xf>
    <xf numFmtId="4" fontId="0" fillId="2" borderId="1" pivotButton="0" quotePrefix="0" xfId="0"/>
    <xf numFmtId="10" fontId="0" fillId="6" borderId="1" pivotButton="0" quotePrefix="0" xfId="0"/>
    <xf numFmtId="0" fontId="2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2" customWidth="1" min="1" max="1"/>
    <col width="95" customWidth="1" min="2" max="2"/>
  </cols>
  <sheetData>
    <row r="1">
      <c r="A1" s="1" t="inlineStr">
        <is>
          <t>组合持仓诊断与交易纪律（调仓前分析 · 不代表已下单）</t>
        </is>
      </c>
    </row>
    <row r="3" ht="42" customHeight="1">
      <c r="A3" s="2" t="inlineStr">
        <is>
          <t>资料截点 as-of</t>
        </is>
      </c>
      <c r="B3" s="3" t="inlineStr">
        <is>
          <t>2026-08-14（周五）17:00 北京时间；基准币种人民币；汇率 USD/CNY=7.18，HKD/CNY=0.92（均取自附件估值表）</t>
        </is>
      </c>
    </row>
    <row r="4" ht="42" customHeight="1">
      <c r="A4" s="2" t="inlineStr">
        <is>
          <t>结论</t>
        </is>
      </c>
      <c r="B4" s="3" t="inlineStr">
        <is>
          <t>按已批准约束，周一(8/17)以限价单卖出 P01 3900股、P05 300股、清仓 P07 10000股，即可把科技、高风险、外币、单票与划出后现金五项约束全部压回限内；随后执行已确认的5万元净转出。</t>
        </is>
      </c>
    </row>
    <row r="5" ht="42" customHeight="1">
      <c r="A5" s="2" t="inlineStr">
        <is>
          <t>最紧约束</t>
        </is>
      </c>
      <c r="B5" s="3" t="inlineStr">
        <is>
          <t>科技主题集中度：当前 66.81%（689,960元），阈值 ≤40%，超限 276,896元；主方案交易后 39.68%。</t>
        </is>
      </c>
    </row>
    <row r="6" ht="42" customHeight="1">
      <c r="A6" s="2" t="inlineStr">
        <is>
          <t>首要动作</t>
        </is>
      </c>
      <c r="B6" s="3" t="inlineStr">
        <is>
          <t>8/17 集合竞价后限价卖出 P01 3900股@32.8、P05 300股@105、P07 10000股@15.3港币；预计成交额300,180元、费用268.3元、净回笼299,912元。</t>
        </is>
      </c>
    </row>
    <row r="7" ht="42" customHeight="1">
      <c r="A7" s="2" t="inlineStr">
        <is>
          <t>最迟行动日</t>
        </is>
      </c>
      <c r="B7" s="3" t="inlineStr">
        <is>
          <t>2026-08-17（周一）为卖出与5万元划出日；8/15-8/16为周末非交易日。</t>
        </is>
      </c>
    </row>
    <row r="8" ht="42" customHeight="1">
      <c r="A8" s="2" t="inlineStr">
        <is>
          <t>未决事项</t>
        </is>
      </c>
      <c r="B8" s="3" t="inlineStr">
        <is>
          <t>①组合经理手工总资产1,029,000与托管系统1,032,660差3,660元，无法由明细复算，列为残差；②P02跌停封单、P04停牌，不可依赖成交；③P07港币回笼需结汇为人民币方计入人民币现金与外币压降。</t>
        </is>
      </c>
    </row>
    <row r="9">
      <c r="A9" s="2" t="inlineStr">
        <is>
          <t>关键数</t>
        </is>
      </c>
      <c r="B9" s="3" t="inlineStr">
        <is>
          <t>交易前总资产(托管/勾稽)=1,032,660；划出后调仓前=982,660；主方案划出后=982,392。划出后人民币现金=392,412(39.94%)，远高于10%下限。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2" customWidth="1" min="3" max="3"/>
    <col width="18" customWidth="1" min="4" max="4"/>
    <col width="12" customWidth="1" min="5" max="5"/>
  </cols>
  <sheetData>
    <row r="1">
      <c r="A1" s="4" t="inlineStr">
        <is>
          <t>字段</t>
        </is>
      </c>
      <c r="B1" s="4" t="inlineStr">
        <is>
          <t>数值</t>
        </is>
      </c>
      <c r="C1" s="4" t="inlineStr">
        <is>
          <t>币种或单位</t>
        </is>
      </c>
      <c r="D1" s="4" t="inlineStr">
        <is>
          <t>记录时间</t>
        </is>
      </c>
      <c r="E1" s="4" t="inlineStr">
        <is>
          <t>来源</t>
        </is>
      </c>
    </row>
    <row r="2">
      <c r="A2" s="5" t="inlineStr">
        <is>
          <t>证券市值小计</t>
        </is>
      </c>
      <c r="B2" s="5" t="n">
        <v>869820</v>
      </c>
      <c r="C2" s="5" t="inlineStr">
        <is>
          <t>人民币元</t>
        </is>
      </c>
      <c r="D2" s="5" t="inlineStr">
        <is>
          <t>2026-08-14 15:05</t>
        </is>
      </c>
      <c r="E2" s="5" t="inlineStr">
        <is>
          <t>托管系统</t>
        </is>
      </c>
    </row>
    <row r="3">
      <c r="A3" s="5" t="inlineStr">
        <is>
          <t>人民币可用现金</t>
        </is>
      </c>
      <c r="B3" s="5" t="n">
        <v>142500</v>
      </c>
      <c r="C3" s="5" t="inlineStr">
        <is>
          <t>人民币元</t>
        </is>
      </c>
      <c r="D3" s="5" t="inlineStr">
        <is>
          <t>2026-08-14 15:05</t>
        </is>
      </c>
      <c r="E3" s="5" t="inlineStr">
        <is>
          <t>资金系统</t>
        </is>
      </c>
    </row>
    <row r="4">
      <c r="A4" s="5" t="inlineStr">
        <is>
          <t>美元现金</t>
        </is>
      </c>
      <c r="B4" s="5" t="n">
        <v>3000</v>
      </c>
      <c r="C4" s="5" t="inlineStr">
        <is>
          <t>美元</t>
        </is>
      </c>
      <c r="D4" s="5" t="inlineStr">
        <is>
          <t>2026-08-14 15:05</t>
        </is>
      </c>
      <c r="E4" s="5" t="inlineStr">
        <is>
          <t>资金系统</t>
        </is>
      </c>
    </row>
    <row r="5">
      <c r="A5" s="5" t="inlineStr">
        <is>
          <t>美元兑人民币折算汇率</t>
        </is>
      </c>
      <c r="B5" s="5" t="n">
        <v>7.18</v>
      </c>
      <c r="C5" s="5" t="inlineStr">
        <is>
          <t>人民币/美元</t>
        </is>
      </c>
      <c r="D5" s="5" t="inlineStr">
        <is>
          <t>2026-08-14 15:00</t>
        </is>
      </c>
      <c r="E5" s="5" t="inlineStr">
        <is>
          <t>内部估值表</t>
        </is>
      </c>
    </row>
    <row r="6">
      <c r="A6" s="5" t="inlineStr">
        <is>
          <t>待扣费用</t>
        </is>
      </c>
      <c r="B6" s="5" t="n">
        <v>1200</v>
      </c>
      <c r="C6" s="5" t="inlineStr">
        <is>
          <t>人民币元</t>
        </is>
      </c>
      <c r="D6" s="5" t="inlineStr">
        <is>
          <t>2026-08-14 15:05</t>
        </is>
      </c>
      <c r="E6" s="5" t="inlineStr">
        <is>
          <t>托管系统</t>
        </is>
      </c>
    </row>
    <row r="7">
      <c r="A7" s="5" t="inlineStr">
        <is>
          <t>账户总资产记录</t>
        </is>
      </c>
      <c r="B7" s="5" t="n">
        <v>1032660</v>
      </c>
      <c r="C7" s="5" t="inlineStr">
        <is>
          <t>人民币元</t>
        </is>
      </c>
      <c r="D7" s="5" t="inlineStr">
        <is>
          <t>2026-08-14 15:05</t>
        </is>
      </c>
      <c r="E7" s="5" t="inlineStr">
        <is>
          <t>托管系统</t>
        </is>
      </c>
    </row>
    <row r="8">
      <c r="A8" s="5" t="inlineStr">
        <is>
          <t>组合经理手工记录总资产</t>
        </is>
      </c>
      <c r="B8" s="5" t="n">
        <v>1029000</v>
      </c>
      <c r="C8" s="5" t="inlineStr">
        <is>
          <t>人民币元</t>
        </is>
      </c>
      <c r="D8" s="5" t="inlineStr">
        <is>
          <t>2026-08-14 15:10</t>
        </is>
      </c>
      <c r="E8" s="5" t="inlineStr">
        <is>
          <t>组合工作表</t>
        </is>
      </c>
    </row>
    <row r="9">
      <c r="A9" s="5" t="inlineStr">
        <is>
          <t>本周计划净流出</t>
        </is>
      </c>
      <c r="B9" s="5" t="n">
        <v>50000</v>
      </c>
      <c r="C9" s="5" t="inlineStr">
        <is>
          <t>人民币元</t>
        </is>
      </c>
      <c r="D9" s="5" t="inlineStr">
        <is>
          <t>2026-08-17</t>
        </is>
      </c>
      <c r="E9" s="5" t="inlineStr">
        <is>
          <t>客户已确认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12" customWidth="1" min="4" max="4"/>
    <col width="8" customWidth="1" min="5" max="5"/>
    <col width="9" customWidth="1" min="6" max="6"/>
    <col width="9" customWidth="1" min="7" max="7"/>
    <col width="12" customWidth="1" min="8" max="8"/>
    <col width="10" customWidth="1" min="9" max="9"/>
    <col width="10" customWidth="1" min="10" max="10"/>
  </cols>
  <sheetData>
    <row r="1">
      <c r="A1" s="4" t="inlineStr">
        <is>
          <t>证券ID</t>
        </is>
      </c>
      <c r="B1" s="4" t="inlineStr">
        <is>
          <t>证券类型</t>
        </is>
      </c>
      <c r="C1" s="4" t="inlineStr">
        <is>
          <t>行业或主题</t>
        </is>
      </c>
      <c r="D1" s="4" t="inlineStr">
        <is>
          <t>批次日期</t>
        </is>
      </c>
      <c r="E1" s="4" t="inlineStr">
        <is>
          <t>数量</t>
        </is>
      </c>
      <c r="F1" s="4" t="inlineStr">
        <is>
          <t>单位成本</t>
        </is>
      </c>
      <c r="G1" s="4" t="inlineStr">
        <is>
          <t>成本币种</t>
        </is>
      </c>
      <c r="H1" s="4" t="inlineStr">
        <is>
          <t>是否当日买入</t>
        </is>
      </c>
      <c r="I1" s="4" t="inlineStr">
        <is>
          <t>当前价格</t>
        </is>
      </c>
      <c r="J1" s="4" t="inlineStr">
        <is>
          <t>价格币种</t>
        </is>
      </c>
    </row>
    <row r="2">
      <c r="A2" s="5" t="inlineStr">
        <is>
          <t>P01</t>
        </is>
      </c>
      <c r="B2" s="5" t="inlineStr">
        <is>
          <t>A股</t>
        </is>
      </c>
      <c r="C2" s="5" t="inlineStr">
        <is>
          <t>电子</t>
        </is>
      </c>
      <c r="D2" s="5" t="inlineStr">
        <is>
          <t>2026-05-10</t>
        </is>
      </c>
      <c r="E2" s="5" t="n">
        <v>2500</v>
      </c>
      <c r="F2" s="5" t="n">
        <v>43.2</v>
      </c>
      <c r="G2" s="5" t="inlineStr">
        <is>
          <t>人民币</t>
        </is>
      </c>
      <c r="H2" s="5" t="inlineStr">
        <is>
          <t>否</t>
        </is>
      </c>
      <c r="I2" s="5" t="n">
        <v>32.8</v>
      </c>
      <c r="J2" s="5" t="inlineStr">
        <is>
          <t>人民币</t>
        </is>
      </c>
    </row>
    <row r="3">
      <c r="A3" s="5" t="inlineStr">
        <is>
          <t>P01</t>
        </is>
      </c>
      <c r="B3" s="5" t="inlineStr">
        <is>
          <t>A股</t>
        </is>
      </c>
      <c r="C3" s="5" t="inlineStr">
        <is>
          <t>电子</t>
        </is>
      </c>
      <c r="D3" s="5" t="inlineStr">
        <is>
          <t>2026-07-02</t>
        </is>
      </c>
      <c r="E3" s="5" t="n">
        <v>1500</v>
      </c>
      <c r="F3" s="5" t="n">
        <v>37.5</v>
      </c>
      <c r="G3" s="5" t="inlineStr">
        <is>
          <t>人民币</t>
        </is>
      </c>
      <c r="H3" s="5" t="inlineStr">
        <is>
          <t>否</t>
        </is>
      </c>
      <c r="I3" s="5" t="n">
        <v>32.8</v>
      </c>
      <c r="J3" s="5" t="inlineStr">
        <is>
          <t>人民币</t>
        </is>
      </c>
    </row>
    <row r="4">
      <c r="A4" s="5" t="inlineStr">
        <is>
          <t>P01</t>
        </is>
      </c>
      <c r="B4" s="5" t="inlineStr">
        <is>
          <t>A股</t>
        </is>
      </c>
      <c r="C4" s="5" t="inlineStr">
        <is>
          <t>电子</t>
        </is>
      </c>
      <c r="D4" s="5" t="inlineStr">
        <is>
          <t>2026-08-14</t>
        </is>
      </c>
      <c r="E4" s="5" t="n">
        <v>1000</v>
      </c>
      <c r="F4" s="5" t="n">
        <v>31.9</v>
      </c>
      <c r="G4" s="5" t="inlineStr">
        <is>
          <t>人民币</t>
        </is>
      </c>
      <c r="H4" s="5" t="inlineStr">
        <is>
          <t>是</t>
        </is>
      </c>
      <c r="I4" s="5" t="n">
        <v>32.8</v>
      </c>
      <c r="J4" s="5" t="inlineStr">
        <is>
          <t>人民币</t>
        </is>
      </c>
    </row>
    <row r="5">
      <c r="A5" s="5" t="inlineStr">
        <is>
          <t>P02</t>
        </is>
      </c>
      <c r="B5" s="5" t="inlineStr">
        <is>
          <t>A股</t>
        </is>
      </c>
      <c r="C5" s="5" t="inlineStr">
        <is>
          <t>计算机</t>
        </is>
      </c>
      <c r="D5" s="5" t="inlineStr">
        <is>
          <t>2026-03-18</t>
        </is>
      </c>
      <c r="E5" s="5" t="n">
        <v>3000</v>
      </c>
      <c r="F5" s="5" t="n">
        <v>54.2</v>
      </c>
      <c r="G5" s="5" t="inlineStr">
        <is>
          <t>人民币</t>
        </is>
      </c>
      <c r="H5" s="5" t="inlineStr">
        <is>
          <t>否</t>
        </is>
      </c>
      <c r="I5" s="5" t="n">
        <v>58.4</v>
      </c>
      <c r="J5" s="5" t="inlineStr">
        <is>
          <t>人民币</t>
        </is>
      </c>
    </row>
    <row r="6">
      <c r="A6" s="5" t="inlineStr">
        <is>
          <t>P03</t>
        </is>
      </c>
      <c r="B6" s="5" t="inlineStr">
        <is>
          <t>A股</t>
        </is>
      </c>
      <c r="C6" s="5" t="inlineStr">
        <is>
          <t>医药</t>
        </is>
      </c>
      <c r="D6" s="5" t="inlineStr">
        <is>
          <t>2026-04-11</t>
        </is>
      </c>
      <c r="E6" s="5" t="n">
        <v>8000</v>
      </c>
      <c r="F6" s="5" t="n">
        <v>10.3</v>
      </c>
      <c r="G6" s="5" t="inlineStr">
        <is>
          <t>人民币</t>
        </is>
      </c>
      <c r="H6" s="5" t="inlineStr">
        <is>
          <t>否</t>
        </is>
      </c>
      <c r="I6" s="5" t="n">
        <v>9.619999999999999</v>
      </c>
      <c r="J6" s="5" t="inlineStr">
        <is>
          <t>人民币</t>
        </is>
      </c>
    </row>
    <row r="7">
      <c r="A7" s="5" t="inlineStr">
        <is>
          <t>P04</t>
        </is>
      </c>
      <c r="B7" s="5" t="inlineStr">
        <is>
          <t>A股</t>
        </is>
      </c>
      <c r="C7" s="5" t="inlineStr">
        <is>
          <t>工业</t>
        </is>
      </c>
      <c r="D7" s="5" t="inlineStr">
        <is>
          <t>2026-01-20</t>
        </is>
      </c>
      <c r="E7" s="5" t="n">
        <v>6000</v>
      </c>
      <c r="F7" s="5" t="n">
        <v>11.9</v>
      </c>
      <c r="G7" s="5" t="inlineStr">
        <is>
          <t>人民币</t>
        </is>
      </c>
      <c r="H7" s="5" t="inlineStr">
        <is>
          <t>否</t>
        </is>
      </c>
      <c r="I7" s="5" t="n">
        <v>12.35</v>
      </c>
      <c r="J7" s="5" t="inlineStr">
        <is>
          <t>人民币</t>
        </is>
      </c>
    </row>
    <row r="8">
      <c r="A8" s="5" t="inlineStr">
        <is>
          <t>P05</t>
        </is>
      </c>
      <c r="B8" s="5" t="inlineStr">
        <is>
          <t>A股</t>
        </is>
      </c>
      <c r="C8" s="5" t="inlineStr">
        <is>
          <t>计算机</t>
        </is>
      </c>
      <c r="D8" s="5" t="inlineStr">
        <is>
          <t>2025-12-05</t>
        </is>
      </c>
      <c r="E8" s="5" t="n">
        <v>2000</v>
      </c>
      <c r="F8" s="5" t="n">
        <v>82.40000000000001</v>
      </c>
      <c r="G8" s="5" t="inlineStr">
        <is>
          <t>人民币</t>
        </is>
      </c>
      <c r="H8" s="5" t="inlineStr">
        <is>
          <t>否</t>
        </is>
      </c>
      <c r="I8" s="5" t="n">
        <v>105</v>
      </c>
      <c r="J8" s="5" t="inlineStr">
        <is>
          <t>人民币</t>
        </is>
      </c>
    </row>
    <row r="9">
      <c r="A9" s="5" t="inlineStr">
        <is>
          <t>P06</t>
        </is>
      </c>
      <c r="B9" s="5" t="inlineStr">
        <is>
          <t>境内ETF</t>
        </is>
      </c>
      <c r="C9" s="5" t="inlineStr">
        <is>
          <t>红利</t>
        </is>
      </c>
      <c r="D9" s="5" t="inlineStr">
        <is>
          <t>2026-02-06</t>
        </is>
      </c>
      <c r="E9" s="5" t="n">
        <v>10000</v>
      </c>
      <c r="F9" s="5" t="n">
        <v>3.1</v>
      </c>
      <c r="G9" s="5" t="inlineStr">
        <is>
          <t>人民币</t>
        </is>
      </c>
      <c r="H9" s="5" t="inlineStr">
        <is>
          <t>否</t>
        </is>
      </c>
      <c r="I9" s="5" t="n">
        <v>2.88</v>
      </c>
      <c r="J9" s="5" t="inlineStr">
        <is>
          <t>人民币</t>
        </is>
      </c>
    </row>
    <row r="10">
      <c r="A10" s="5" t="inlineStr">
        <is>
          <t>P07</t>
        </is>
      </c>
      <c r="B10" s="5" t="inlineStr">
        <is>
          <t>港股ETF</t>
        </is>
      </c>
      <c r="C10" s="5" t="inlineStr">
        <is>
          <t>海外科技</t>
        </is>
      </c>
      <c r="D10" s="5" t="inlineStr">
        <is>
          <t>2026-06-16</t>
        </is>
      </c>
      <c r="E10" s="5" t="n">
        <v>10000</v>
      </c>
      <c r="F10" s="5" t="n">
        <v>16.4</v>
      </c>
      <c r="G10" s="5" t="inlineStr">
        <is>
          <t>港币</t>
        </is>
      </c>
      <c r="H10" s="5" t="inlineStr">
        <is>
          <t>否</t>
        </is>
      </c>
      <c r="I10" s="5" t="n">
        <v>15.3</v>
      </c>
      <c r="J10" s="5" t="inlineStr">
        <is>
          <t>港币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cols>
    <col width="9" customWidth="1" min="1" max="1"/>
    <col width="7" customWidth="1" min="2" max="2"/>
    <col width="9" customWidth="1" min="3" max="3"/>
    <col width="7" customWidth="1" min="4" max="4"/>
    <col width="18" customWidth="1" min="5" max="5"/>
    <col width="8" customWidth="1" min="6" max="6"/>
    <col width="9" customWidth="1" min="7" max="7"/>
    <col width="11" customWidth="1" min="8" max="8"/>
    <col width="9" customWidth="1" min="9" max="9"/>
    <col width="9" customWidth="1" min="10" max="10"/>
    <col width="14" customWidth="1" min="11" max="11"/>
    <col width="34" customWidth="1" min="12" max="12"/>
  </cols>
  <sheetData>
    <row r="1">
      <c r="A1" s="4" t="inlineStr">
        <is>
          <t>证券ID</t>
        </is>
      </c>
      <c r="B1" s="4" t="inlineStr">
        <is>
          <t>市场</t>
        </is>
      </c>
      <c r="C1" s="4" t="inlineStr">
        <is>
          <t>最新价格</t>
        </is>
      </c>
      <c r="D1" s="4" t="inlineStr">
        <is>
          <t>币种</t>
        </is>
      </c>
      <c r="E1" s="4" t="inlineStr">
        <is>
          <t>价格时间</t>
        </is>
      </c>
      <c r="F1" s="4" t="inlineStr">
        <is>
          <t>交易状态</t>
        </is>
      </c>
      <c r="G1" s="4" t="inlineStr">
        <is>
          <t>涨跌停状态</t>
        </is>
      </c>
      <c r="H1" s="4" t="inlineStr">
        <is>
          <t>当日买入数量</t>
        </is>
      </c>
      <c r="I1" s="4" t="inlineStr">
        <is>
          <t>可卖数量</t>
        </is>
      </c>
      <c r="J1" s="4" t="inlineStr">
        <is>
          <t>最小交易单位</t>
        </is>
      </c>
      <c r="K1" s="4" t="inlineStr">
        <is>
          <t>20日均成交额_万元</t>
        </is>
      </c>
      <c r="L1" s="6" t="inlineStr">
        <is>
          <t>说明</t>
        </is>
      </c>
    </row>
    <row r="2">
      <c r="A2" s="5" t="inlineStr">
        <is>
          <t>P01</t>
        </is>
      </c>
      <c r="B2" s="5" t="inlineStr">
        <is>
          <t>沪深</t>
        </is>
      </c>
      <c r="C2" s="5" t="n">
        <v>32.8</v>
      </c>
      <c r="D2" s="5" t="inlineStr">
        <is>
          <t>人民币</t>
        </is>
      </c>
      <c r="E2" s="5" t="inlineStr">
        <is>
          <t>2026-08-14 15:00</t>
        </is>
      </c>
      <c r="F2" s="5" t="inlineStr">
        <is>
          <t>正常</t>
        </is>
      </c>
      <c r="G2" s="5" t="inlineStr">
        <is>
          <t>无</t>
        </is>
      </c>
      <c r="H2" s="5" t="n">
        <v>1000</v>
      </c>
      <c r="I2" s="5" t="n">
        <v>4000</v>
      </c>
      <c r="J2" s="5" t="n">
        <v>100</v>
      </c>
      <c r="K2" s="5" t="n">
        <v>8600</v>
      </c>
      <c r="L2" s="7" t="inlineStr">
        <is>
          <t>当日买入部分按T+1管理</t>
        </is>
      </c>
    </row>
    <row r="3">
      <c r="A3" s="5" t="inlineStr">
        <is>
          <t>P02</t>
        </is>
      </c>
      <c r="B3" s="5" t="inlineStr">
        <is>
          <t>沪深</t>
        </is>
      </c>
      <c r="C3" s="5" t="n">
        <v>58.4</v>
      </c>
      <c r="D3" s="5" t="inlineStr">
        <is>
          <t>人民币</t>
        </is>
      </c>
      <c r="E3" s="5" t="inlineStr">
        <is>
          <t>2026-08-14 15:00</t>
        </is>
      </c>
      <c r="F3" s="5" t="inlineStr">
        <is>
          <t>正常</t>
        </is>
      </c>
      <c r="G3" s="5" t="inlineStr">
        <is>
          <t>跌停</t>
        </is>
      </c>
      <c r="H3" s="5" t="n">
        <v>0</v>
      </c>
      <c r="I3" s="5" t="n">
        <v>3000</v>
      </c>
      <c r="J3" s="5" t="n">
        <v>100</v>
      </c>
      <c r="K3" s="5" t="n">
        <v>2100</v>
      </c>
      <c r="L3" s="7" t="inlineStr">
        <is>
          <t>收盘封单，次日成交不确定</t>
        </is>
      </c>
    </row>
    <row r="4">
      <c r="A4" s="5" t="inlineStr">
        <is>
          <t>P03</t>
        </is>
      </c>
      <c r="B4" s="5" t="inlineStr">
        <is>
          <t>沪深</t>
        </is>
      </c>
      <c r="C4" s="5" t="n">
        <v>9.619999999999999</v>
      </c>
      <c r="D4" s="5" t="inlineStr">
        <is>
          <t>人民币</t>
        </is>
      </c>
      <c r="E4" s="5" t="inlineStr">
        <is>
          <t>2026-08-14 15:00</t>
        </is>
      </c>
      <c r="F4" s="5" t="inlineStr">
        <is>
          <t>正常</t>
        </is>
      </c>
      <c r="G4" s="5" t="inlineStr">
        <is>
          <t>无</t>
        </is>
      </c>
      <c r="H4" s="5" t="n">
        <v>0</v>
      </c>
      <c r="I4" s="5" t="n">
        <v>8000</v>
      </c>
      <c r="J4" s="5" t="n">
        <v>100</v>
      </c>
      <c r="K4" s="5" t="n">
        <v>4700</v>
      </c>
      <c r="L4" s="7" t="inlineStr"/>
    </row>
    <row r="5">
      <c r="A5" s="5" t="inlineStr">
        <is>
          <t>P04</t>
        </is>
      </c>
      <c r="B5" s="5" t="inlineStr">
        <is>
          <t>沪深</t>
        </is>
      </c>
      <c r="C5" s="5" t="n">
        <v>12.35</v>
      </c>
      <c r="D5" s="5" t="inlineStr">
        <is>
          <t>人民币</t>
        </is>
      </c>
      <c r="E5" s="5" t="inlineStr">
        <is>
          <t>2026-08-13 15:00</t>
        </is>
      </c>
      <c r="F5" s="5" t="inlineStr">
        <is>
          <t>停牌</t>
        </is>
      </c>
      <c r="G5" s="5" t="inlineStr">
        <is>
          <t>不适用</t>
        </is>
      </c>
      <c r="H5" s="5" t="n">
        <v>0</v>
      </c>
      <c r="I5" s="5" t="n">
        <v>0</v>
      </c>
      <c r="J5" s="5" t="n">
        <v>100</v>
      </c>
      <c r="K5" s="5" t="n">
        <v>900</v>
      </c>
      <c r="L5" s="7" t="inlineStr">
        <is>
          <t>8月14日全天停牌，复牌日未定</t>
        </is>
      </c>
    </row>
    <row r="6">
      <c r="A6" s="5" t="inlineStr">
        <is>
          <t>P05</t>
        </is>
      </c>
      <c r="B6" s="5" t="inlineStr">
        <is>
          <t>沪深</t>
        </is>
      </c>
      <c r="C6" s="5" t="n">
        <v>105</v>
      </c>
      <c r="D6" s="5" t="inlineStr">
        <is>
          <t>人民币</t>
        </is>
      </c>
      <c r="E6" s="5" t="inlineStr">
        <is>
          <t>2026-08-14 15:00</t>
        </is>
      </c>
      <c r="F6" s="5" t="inlineStr">
        <is>
          <t>正常</t>
        </is>
      </c>
      <c r="G6" s="5" t="inlineStr">
        <is>
          <t>无</t>
        </is>
      </c>
      <c r="H6" s="5" t="n">
        <v>0</v>
      </c>
      <c r="I6" s="5" t="n">
        <v>2000</v>
      </c>
      <c r="J6" s="5" t="n">
        <v>100</v>
      </c>
      <c r="K6" s="5" t="n">
        <v>12800</v>
      </c>
      <c r="L6" s="7" t="inlineStr"/>
    </row>
    <row r="7">
      <c r="A7" s="5" t="inlineStr">
        <is>
          <t>P06</t>
        </is>
      </c>
      <c r="B7" s="5" t="inlineStr">
        <is>
          <t>沪深</t>
        </is>
      </c>
      <c r="C7" s="5" t="n">
        <v>2.88</v>
      </c>
      <c r="D7" s="5" t="inlineStr">
        <is>
          <t>人民币</t>
        </is>
      </c>
      <c r="E7" s="5" t="inlineStr">
        <is>
          <t>2026-08-14 15:00</t>
        </is>
      </c>
      <c r="F7" s="5" t="inlineStr">
        <is>
          <t>正常</t>
        </is>
      </c>
      <c r="G7" s="5" t="inlineStr">
        <is>
          <t>无</t>
        </is>
      </c>
      <c r="H7" s="5" t="n">
        <v>0</v>
      </c>
      <c r="I7" s="5" t="n">
        <v>10000</v>
      </c>
      <c r="J7" s="5" t="n">
        <v>100</v>
      </c>
      <c r="K7" s="5" t="n">
        <v>56000</v>
      </c>
      <c r="L7" s="7" t="inlineStr">
        <is>
          <t>8/12每份现金分配0.80；8/11未调3.68，除息后参考2.88</t>
        </is>
      </c>
    </row>
    <row r="8">
      <c r="A8" s="5" t="inlineStr">
        <is>
          <t>P07</t>
        </is>
      </c>
      <c r="B8" s="5" t="inlineStr">
        <is>
          <t>香港</t>
        </is>
      </c>
      <c r="C8" s="5" t="n">
        <v>15.3</v>
      </c>
      <c r="D8" s="5" t="inlineStr">
        <is>
          <t>港币</t>
        </is>
      </c>
      <c r="E8" s="5" t="inlineStr">
        <is>
          <t>2026-08-14 16:00</t>
        </is>
      </c>
      <c r="F8" s="5" t="inlineStr">
        <is>
          <t>正常</t>
        </is>
      </c>
      <c r="G8" s="5" t="inlineStr">
        <is>
          <t>无</t>
        </is>
      </c>
      <c r="H8" s="5" t="n">
        <v>0</v>
      </c>
      <c r="I8" s="5" t="n">
        <v>10000</v>
      </c>
      <c r="J8" s="5" t="n">
        <v>500</v>
      </c>
      <c r="K8" s="5" t="n">
        <v>12500</v>
      </c>
      <c r="L8" s="7" t="inlineStr">
        <is>
          <t>港币兑人民币估值汇率0.92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13" customWidth="1" min="4" max="4"/>
    <col width="11" customWidth="1" min="5" max="5"/>
    <col width="13" customWidth="1" min="6" max="6"/>
    <col width="12" customWidth="1" min="7" max="7"/>
  </cols>
  <sheetData>
    <row r="1">
      <c r="A1" s="4" t="inlineStr">
        <is>
          <t>证券ID</t>
        </is>
      </c>
      <c r="B1" s="4" t="inlineStr">
        <is>
          <t>风险分类</t>
        </is>
      </c>
      <c r="C1" s="4" t="inlineStr">
        <is>
          <t>组合分组</t>
        </is>
      </c>
      <c r="D1" s="4" t="inlineStr">
        <is>
          <t>近60日波动率</t>
        </is>
      </c>
      <c r="E1" s="4" t="inlineStr">
        <is>
          <t>内部风险等级</t>
        </is>
      </c>
      <c r="F1" s="4" t="inlineStr">
        <is>
          <t>与P05相关系数</t>
        </is>
      </c>
      <c r="G1" s="4" t="inlineStr">
        <is>
          <t>是否外币暴露</t>
        </is>
      </c>
    </row>
    <row r="2">
      <c r="A2" s="5" t="inlineStr">
        <is>
          <t>P01</t>
        </is>
      </c>
      <c r="B2" s="5" t="inlineStr">
        <is>
          <t>成长</t>
        </is>
      </c>
      <c r="C2" s="5" t="inlineStr">
        <is>
          <t>科技</t>
        </is>
      </c>
      <c r="D2" s="5" t="n">
        <v>0.38</v>
      </c>
      <c r="E2" s="5" t="inlineStr">
        <is>
          <t>高</t>
        </is>
      </c>
      <c r="F2" s="5" t="n">
        <v>0.72</v>
      </c>
      <c r="G2" s="5" t="inlineStr">
        <is>
          <t>否</t>
        </is>
      </c>
    </row>
    <row r="3">
      <c r="A3" s="5" t="inlineStr">
        <is>
          <t>P02</t>
        </is>
      </c>
      <c r="B3" s="5" t="inlineStr">
        <is>
          <t>成长</t>
        </is>
      </c>
      <c r="C3" s="5" t="inlineStr">
        <is>
          <t>科技</t>
        </is>
      </c>
      <c r="D3" s="5" t="n">
        <v>0.44</v>
      </c>
      <c r="E3" s="5" t="inlineStr">
        <is>
          <t>高</t>
        </is>
      </c>
      <c r="F3" s="5" t="n">
        <v>0.8100000000000001</v>
      </c>
      <c r="G3" s="5" t="inlineStr">
        <is>
          <t>否</t>
        </is>
      </c>
    </row>
    <row r="4">
      <c r="A4" s="5" t="inlineStr">
        <is>
          <t>P03</t>
        </is>
      </c>
      <c r="B4" s="5" t="inlineStr">
        <is>
          <t>防御</t>
        </is>
      </c>
      <c r="C4" s="5" t="inlineStr">
        <is>
          <t>医药</t>
        </is>
      </c>
      <c r="D4" s="5" t="n">
        <v>0.25</v>
      </c>
      <c r="E4" s="5" t="inlineStr">
        <is>
          <t>中</t>
        </is>
      </c>
      <c r="F4" s="5" t="n">
        <v>0.18</v>
      </c>
      <c r="G4" s="5" t="inlineStr">
        <is>
          <t>否</t>
        </is>
      </c>
    </row>
    <row r="5">
      <c r="A5" s="5" t="inlineStr">
        <is>
          <t>P04</t>
        </is>
      </c>
      <c r="B5" s="5" t="inlineStr">
        <is>
          <t>周期</t>
        </is>
      </c>
      <c r="C5" s="5" t="inlineStr">
        <is>
          <t>工业</t>
        </is>
      </c>
      <c r="D5" s="5" t="n">
        <v>0.29</v>
      </c>
      <c r="E5" s="5" t="inlineStr">
        <is>
          <t>中</t>
        </is>
      </c>
      <c r="F5" s="5" t="n">
        <v>0.22</v>
      </c>
      <c r="G5" s="5" t="inlineStr">
        <is>
          <t>否</t>
        </is>
      </c>
    </row>
    <row r="6">
      <c r="A6" s="5" t="inlineStr">
        <is>
          <t>P05</t>
        </is>
      </c>
      <c r="B6" s="5" t="inlineStr">
        <is>
          <t>成长</t>
        </is>
      </c>
      <c r="C6" s="5" t="inlineStr">
        <is>
          <t>科技</t>
        </is>
      </c>
      <c r="D6" s="5" t="n">
        <v>0.46</v>
      </c>
      <c r="E6" s="5" t="inlineStr">
        <is>
          <t>高</t>
        </is>
      </c>
      <c r="F6" s="5" t="n">
        <v>1</v>
      </c>
      <c r="G6" s="5" t="inlineStr">
        <is>
          <t>否</t>
        </is>
      </c>
    </row>
    <row r="7">
      <c r="A7" s="5" t="inlineStr">
        <is>
          <t>P06</t>
        </is>
      </c>
      <c r="B7" s="5" t="inlineStr">
        <is>
          <t>防御</t>
        </is>
      </c>
      <c r="C7" s="5" t="inlineStr">
        <is>
          <t>红利</t>
        </is>
      </c>
      <c r="D7" s="5" t="n">
        <v>0.17</v>
      </c>
      <c r="E7" s="5" t="inlineStr">
        <is>
          <t>低</t>
        </is>
      </c>
      <c r="F7" s="5" t="n">
        <v>-0.05</v>
      </c>
      <c r="G7" s="5" t="inlineStr">
        <is>
          <t>否</t>
        </is>
      </c>
    </row>
    <row r="8">
      <c r="A8" s="5" t="inlineStr">
        <is>
          <t>P07</t>
        </is>
      </c>
      <c r="B8" s="5" t="inlineStr">
        <is>
          <t>成长</t>
        </is>
      </c>
      <c r="C8" s="5" t="inlineStr">
        <is>
          <t>科技</t>
        </is>
      </c>
      <c r="D8" s="5" t="n">
        <v>0.31</v>
      </c>
      <c r="E8" s="5" t="inlineStr">
        <is>
          <t>中高</t>
        </is>
      </c>
      <c r="F8" s="5" t="n">
        <v>0.64</v>
      </c>
      <c r="G8" s="5" t="inlineStr">
        <is>
          <t>是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40" customWidth="1" min="4" max="4"/>
  </cols>
  <sheetData>
    <row r="1">
      <c r="A1" s="8" t="inlineStr">
        <is>
          <t>账户总资产勾稽（双口径并列，残差照列）</t>
        </is>
      </c>
    </row>
    <row r="2">
      <c r="A2" s="9" t="inlineStr">
        <is>
          <t>勾稽项</t>
        </is>
      </c>
      <c r="B2" s="9" t="inlineStr">
        <is>
          <t>金额(元)</t>
        </is>
      </c>
      <c r="C2" s="9" t="inlineStr">
        <is>
          <t>口径/来源</t>
        </is>
      </c>
      <c r="D2" s="9" t="inlineStr">
        <is>
          <t>说明</t>
        </is>
      </c>
    </row>
    <row r="3">
      <c r="A3" s="10" t="inlineStr">
        <is>
          <t>证券市值小计</t>
        </is>
      </c>
      <c r="B3" s="11">
        <f>'输入_账户汇总'!B2</f>
        <v/>
      </c>
      <c r="C3" s="10" t="inlineStr">
        <is>
          <t>托管系统</t>
        </is>
      </c>
      <c r="D3" s="3" t="inlineStr">
        <is>
          <t>七只持仓按截点价×汇率加总=869,820，与托管小计一致</t>
        </is>
      </c>
    </row>
    <row r="4">
      <c r="A4" s="10" t="inlineStr">
        <is>
          <t>+ 人民币可用现金</t>
        </is>
      </c>
      <c r="B4" s="11">
        <f>'输入_账户汇总'!B3</f>
        <v/>
      </c>
      <c r="C4" s="10" t="inlineStr">
        <is>
          <t>资金系统</t>
        </is>
      </c>
      <c r="D4" s="3" t="inlineStr">
        <is>
          <t>划出前</t>
        </is>
      </c>
    </row>
    <row r="5">
      <c r="A5" s="10" t="inlineStr">
        <is>
          <t>+ 美元现金折算</t>
        </is>
      </c>
      <c r="B5" s="11">
        <f>'输入_账户汇总'!B4*'输入_账户汇总'!B5</f>
        <v/>
      </c>
      <c r="C5" s="10" t="inlineStr">
        <is>
          <t>资金系统×估值汇率</t>
        </is>
      </c>
      <c r="D5" s="3" t="inlineStr">
        <is>
          <t>3000美元×7.18=21,540</t>
        </is>
      </c>
    </row>
    <row r="6">
      <c r="A6" s="10" t="inlineStr">
        <is>
          <t>- 待扣费用</t>
        </is>
      </c>
      <c r="B6" s="11">
        <f>-'输入_账户汇总'!B6</f>
        <v/>
      </c>
      <c r="C6" s="10" t="inlineStr">
        <is>
          <t>托管系统</t>
        </is>
      </c>
      <c r="D6" s="3" t="inlineStr">
        <is>
          <t>已在托管口径中扣减</t>
        </is>
      </c>
    </row>
    <row r="7">
      <c r="A7" s="12" t="inlineStr">
        <is>
          <t>勾稽总资产(明细锚)</t>
        </is>
      </c>
      <c r="B7" s="11">
        <f>B3+B4+B5+B6</f>
        <v/>
      </c>
      <c r="C7" s="10" t="inlineStr">
        <is>
          <t>明细自下而上</t>
        </is>
      </c>
      <c r="D7" s="3" t="inlineStr">
        <is>
          <t>明细加总=869,820+142,500+21,540-1,200</t>
        </is>
      </c>
    </row>
    <row r="8">
      <c r="A8" s="12" t="inlineStr">
        <is>
          <t>托管系统记录总资产(报表锚)</t>
        </is>
      </c>
      <c r="B8" s="11">
        <f>'输入_账户汇总'!B7</f>
        <v/>
      </c>
      <c r="C8" s="10" t="inlineStr">
        <is>
          <t>托管系统</t>
        </is>
      </c>
      <c r="D8" s="3" t="inlineStr">
        <is>
          <t>与明细锚完全一致</t>
        </is>
      </c>
    </row>
    <row r="9">
      <c r="A9" s="10" t="inlineStr">
        <is>
          <t>组合经理手工记录总资产</t>
        </is>
      </c>
      <c r="B9" s="11">
        <f>'输入_账户汇总'!B8</f>
        <v/>
      </c>
      <c r="C9" s="10" t="inlineStr">
        <is>
          <t>组合工作表</t>
        </is>
      </c>
      <c r="D9" s="3" t="inlineStr">
        <is>
          <t>低于托管锚</t>
        </is>
      </c>
    </row>
    <row r="10">
      <c r="A10" s="10" t="inlineStr">
        <is>
          <t>残差(托管-手工)</t>
        </is>
      </c>
      <c r="B10" s="11">
        <f>B8-B9</f>
        <v/>
      </c>
      <c r="C10" s="10" t="inlineStr">
        <is>
          <t>待查</t>
        </is>
      </c>
      <c r="D10" s="3" t="inlineStr">
        <is>
          <t>3,660元，无法由任何明细组合复现，列入假设与缺失</t>
        </is>
      </c>
    </row>
    <row r="12" ht="46" customHeight="1">
      <c r="A12" s="2" t="inlineStr">
        <is>
          <t>采用口径</t>
        </is>
      </c>
      <c r="B12" s="3" t="inlineStr">
        <is>
          <t>主口径采用托管系统总资产1,032,660元（明细可逐笔复算、勾稽无残差）；组合经理1,029,000元并列留存，残差3,660元不作他项资产抹平。权重与约束分母在主方案中使用交易后净资产。</t>
        </is>
      </c>
    </row>
  </sheetData>
  <mergeCells count="2">
    <mergeCell ref="B12:D12"/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11" customWidth="1" min="3" max="3"/>
    <col width="30" customWidth="1" min="4" max="4"/>
    <col width="18" customWidth="1" min="5" max="5"/>
    <col width="30" customWidth="1" min="6" max="6"/>
  </cols>
  <sheetData>
    <row r="1">
      <c r="A1" s="8" t="inlineStr">
        <is>
          <t>交易日历与关键时点（as-of=2026-08-14 周五收盘后）</t>
        </is>
      </c>
    </row>
    <row r="2">
      <c r="A2" s="9" t="inlineStr">
        <is>
          <t>日历日</t>
        </is>
      </c>
      <c r="B2" s="9" t="inlineStr">
        <is>
          <t>星期</t>
        </is>
      </c>
      <c r="C2" s="9" t="inlineStr">
        <is>
          <t>是否交易日</t>
        </is>
      </c>
      <c r="D2" s="9" t="inlineStr">
        <is>
          <t>可执行时段说明</t>
        </is>
      </c>
      <c r="E2" s="9" t="inlineStr">
        <is>
          <t>资金可用/可划转</t>
        </is>
      </c>
      <c r="F2" s="9" t="inlineStr">
        <is>
          <t>备注</t>
        </is>
      </c>
    </row>
    <row r="3">
      <c r="A3" s="3" t="inlineStr">
        <is>
          <t>2026-08-14</t>
        </is>
      </c>
      <c r="B3" s="3" t="inlineStr">
        <is>
          <t>周五</t>
        </is>
      </c>
      <c r="C3" s="3" t="inlineStr">
        <is>
          <t>是</t>
        </is>
      </c>
      <c r="D3" s="3" t="inlineStr">
        <is>
          <t>15:00已收盘，17:00截点后不可下单</t>
        </is>
      </c>
      <c r="E3" s="3" t="inlineStr">
        <is>
          <t>-</t>
        </is>
      </c>
      <c r="F3" s="3" t="inlineStr">
        <is>
          <t>as-of；P01当日买入1000股T+1锁定；P02跌停封单；P04全天停牌</t>
        </is>
      </c>
    </row>
    <row r="4">
      <c r="A4" s="3" t="inlineStr">
        <is>
          <t>2026-08-15</t>
        </is>
      </c>
      <c r="B4" s="3" t="inlineStr">
        <is>
          <t>周六</t>
        </is>
      </c>
      <c r="C4" s="3" t="inlineStr">
        <is>
          <t>否</t>
        </is>
      </c>
      <c r="D4" s="3" t="inlineStr">
        <is>
          <t>休市</t>
        </is>
      </c>
      <c r="E4" s="3" t="inlineStr">
        <is>
          <t>否</t>
        </is>
      </c>
      <c r="F4" s="3" t="inlineStr"/>
    </row>
    <row r="5">
      <c r="A5" s="3" t="inlineStr">
        <is>
          <t>2026-08-16</t>
        </is>
      </c>
      <c r="B5" s="3" t="inlineStr">
        <is>
          <t>周日</t>
        </is>
      </c>
      <c r="C5" s="3" t="inlineStr">
        <is>
          <t>否</t>
        </is>
      </c>
      <c r="D5" s="3" t="inlineStr">
        <is>
          <t>休市</t>
        </is>
      </c>
      <c r="E5" s="3" t="inlineStr">
        <is>
          <t>否</t>
        </is>
      </c>
      <c r="F5" s="3" t="inlineStr"/>
    </row>
    <row r="6">
      <c r="A6" s="13" t="inlineStr">
        <is>
          <t>2026-08-17</t>
        </is>
      </c>
      <c r="B6" s="13" t="inlineStr">
        <is>
          <t>周一</t>
        </is>
      </c>
      <c r="C6" s="13" t="inlineStr">
        <is>
          <t>是</t>
        </is>
      </c>
      <c r="D6" s="13" t="inlineStr">
        <is>
          <t>交易日，执行卖出与5万划出</t>
        </is>
      </c>
      <c r="E6" s="13" t="inlineStr">
        <is>
          <t>卖出回款T+1方可转银行；原有现金142,500已覆盖5万划出</t>
        </is>
      </c>
      <c r="F6" s="13" t="inlineStr">
        <is>
          <t>客户确认净转出5万；P01的8/14买入1000股解禁可卖</t>
        </is>
      </c>
    </row>
    <row r="7">
      <c r="A7" s="3" t="inlineStr">
        <is>
          <t>2026-08-18</t>
        </is>
      </c>
      <c r="B7" s="3" t="inlineStr">
        <is>
          <t>周二</t>
        </is>
      </c>
      <c r="C7" s="3" t="inlineStr">
        <is>
          <t>是</t>
        </is>
      </c>
      <c r="D7" s="3" t="inlineStr">
        <is>
          <t>交易日</t>
        </is>
      </c>
      <c r="E7" s="3" t="inlineStr">
        <is>
          <t>卖出回款可划转</t>
        </is>
      </c>
      <c r="F7" s="3" t="inlineStr">
        <is>
          <t>主方案成交后复核日</t>
        </is>
      </c>
    </row>
    <row r="8">
      <c r="A8" s="3" t="inlineStr">
        <is>
          <t>2026-08-19</t>
        </is>
      </c>
      <c r="B8" s="3" t="inlineStr">
        <is>
          <t>周三</t>
        </is>
      </c>
      <c r="C8" s="3" t="inlineStr">
        <is>
          <t>是</t>
        </is>
      </c>
      <c r="D8" s="3" t="inlineStr">
        <is>
          <t>交易日</t>
        </is>
      </c>
      <c r="E8" s="3" t="inlineStr"/>
      <c r="F8" s="3" t="inlineStr">
        <is>
          <t>10日监控节点(计划第3日)</t>
        </is>
      </c>
    </row>
    <row r="9">
      <c r="A9" s="3" t="inlineStr">
        <is>
          <t>2026-08-21</t>
        </is>
      </c>
      <c r="B9" s="3" t="inlineStr">
        <is>
          <t>周五</t>
        </is>
      </c>
      <c r="C9" s="3" t="inlineStr">
        <is>
          <t>是</t>
        </is>
      </c>
      <c r="D9" s="3" t="inlineStr">
        <is>
          <t>交易日</t>
        </is>
      </c>
      <c r="E9" s="3" t="inlineStr"/>
      <c r="F9" s="3" t="inlineStr">
        <is>
          <t>周度复核</t>
        </is>
      </c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9" customWidth="1" min="3" max="3"/>
    <col width="9" customWidth="1" min="4" max="4"/>
    <col width="11" customWidth="1" min="5" max="5"/>
    <col width="11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8" t="inlineStr">
        <is>
          <t>持仓市值、浮动盈亏与可卖批次（分母=托管总资产1,032,660）</t>
        </is>
      </c>
    </row>
    <row r="2">
      <c r="A2" s="9" t="inlineStr">
        <is>
          <t>证券</t>
        </is>
      </c>
      <c r="B2" s="9" t="inlineStr">
        <is>
          <t>数量</t>
        </is>
      </c>
      <c r="C2" s="9" t="inlineStr">
        <is>
          <t>现价</t>
        </is>
      </c>
      <c r="D2" s="9" t="inlineStr">
        <is>
          <t>汇率</t>
        </is>
      </c>
      <c r="E2" s="9" t="inlineStr">
        <is>
          <t>市值(元)</t>
        </is>
      </c>
      <c r="F2" s="9" t="inlineStr">
        <is>
          <t>重建成本单价</t>
        </is>
      </c>
      <c r="G2" s="9" t="inlineStr">
        <is>
          <t>成本总额</t>
        </is>
      </c>
      <c r="H2" s="9" t="inlineStr">
        <is>
          <t>浮动盈亏</t>
        </is>
      </c>
      <c r="I2" s="9" t="inlineStr">
        <is>
          <t>权重</t>
        </is>
      </c>
      <c r="J2" s="9" t="inlineStr">
        <is>
          <t>可卖数量/状态</t>
        </is>
      </c>
    </row>
    <row r="3">
      <c r="A3" s="12" t="inlineStr">
        <is>
          <t>P01</t>
        </is>
      </c>
      <c r="B3" s="11" t="n">
        <v>5000</v>
      </c>
      <c r="C3" s="14" t="n">
        <v>32.8</v>
      </c>
      <c r="D3" s="15" t="n">
        <v>1</v>
      </c>
      <c r="E3" s="11" t="n">
        <v>164000</v>
      </c>
      <c r="F3" s="14" t="n">
        <v>39.23</v>
      </c>
      <c r="G3" s="11" t="n">
        <v>196150</v>
      </c>
      <c r="H3" s="16" t="n">
        <v>-32150</v>
      </c>
      <c r="I3" s="17" t="n">
        <v>0.1588131621249976</v>
      </c>
      <c r="J3" s="3" t="inlineStr">
        <is>
          <t>可卖4000：可卖4000；8/14买入1000股T+1至8/17</t>
        </is>
      </c>
    </row>
    <row r="4">
      <c r="A4" s="12" t="inlineStr">
        <is>
          <t>P02</t>
        </is>
      </c>
      <c r="B4" s="11" t="n">
        <v>3000</v>
      </c>
      <c r="C4" s="14" t="n">
        <v>58.4</v>
      </c>
      <c r="D4" s="15" t="n">
        <v>1</v>
      </c>
      <c r="E4" s="11" t="n">
        <v>175200</v>
      </c>
      <c r="F4" s="14" t="n">
        <v>54.2</v>
      </c>
      <c r="G4" s="11" t="n">
        <v>162600</v>
      </c>
      <c r="H4" s="18" t="n">
        <v>12600</v>
      </c>
      <c r="I4" s="17" t="n">
        <v>0.1696589390506072</v>
      </c>
      <c r="J4" s="3" t="inlineStr">
        <is>
          <t>可卖3000：跌停封单，成交不确定</t>
        </is>
      </c>
    </row>
    <row r="5">
      <c r="A5" s="12" t="inlineStr">
        <is>
          <t>P03</t>
        </is>
      </c>
      <c r="B5" s="11" t="n">
        <v>8000</v>
      </c>
      <c r="C5" s="14" t="n">
        <v>9.619999999999999</v>
      </c>
      <c r="D5" s="15" t="n">
        <v>1</v>
      </c>
      <c r="E5" s="11" t="n">
        <v>76960</v>
      </c>
      <c r="F5" s="14" t="n">
        <v>10.3</v>
      </c>
      <c r="G5" s="11" t="n">
        <v>82400</v>
      </c>
      <c r="H5" s="16" t="n">
        <v>-5440</v>
      </c>
      <c r="I5" s="17" t="n">
        <v>0.07452598144597447</v>
      </c>
      <c r="J5" s="3" t="inlineStr">
        <is>
          <t>可卖8000：正常可卖</t>
        </is>
      </c>
    </row>
    <row r="6">
      <c r="A6" s="12" t="inlineStr">
        <is>
          <t>P04</t>
        </is>
      </c>
      <c r="B6" s="11" t="n">
        <v>6000</v>
      </c>
      <c r="C6" s="14" t="n">
        <v>12.35</v>
      </c>
      <c r="D6" s="15" t="n">
        <v>1</v>
      </c>
      <c r="E6" s="11" t="n">
        <v>74100</v>
      </c>
      <c r="F6" s="14" t="n">
        <v>11.9</v>
      </c>
      <c r="G6" s="11" t="n">
        <v>71400</v>
      </c>
      <c r="H6" s="18" t="n">
        <v>2700</v>
      </c>
      <c r="I6" s="17" t="n">
        <v>0.07175643483818488</v>
      </c>
      <c r="J6" s="3" t="inlineStr">
        <is>
          <t>可卖0：停牌，可卖0</t>
        </is>
      </c>
    </row>
    <row r="7">
      <c r="A7" s="12" t="inlineStr">
        <is>
          <t>P05</t>
        </is>
      </c>
      <c r="B7" s="11" t="n">
        <v>2000</v>
      </c>
      <c r="C7" s="14" t="n">
        <v>105</v>
      </c>
      <c r="D7" s="15" t="n">
        <v>1</v>
      </c>
      <c r="E7" s="11" t="n">
        <v>210000</v>
      </c>
      <c r="F7" s="14" t="n">
        <v>82.40000000000001</v>
      </c>
      <c r="G7" s="11" t="n">
        <v>164800</v>
      </c>
      <c r="H7" s="18" t="n">
        <v>45200</v>
      </c>
      <c r="I7" s="17" t="n">
        <v>0.2033583173551798</v>
      </c>
      <c r="J7" s="3" t="inlineStr">
        <is>
          <t>可卖2000：正常可卖</t>
        </is>
      </c>
    </row>
    <row r="8">
      <c r="A8" s="12" t="inlineStr">
        <is>
          <t>P06</t>
        </is>
      </c>
      <c r="B8" s="11" t="n">
        <v>10000</v>
      </c>
      <c r="C8" s="14" t="n">
        <v>2.88</v>
      </c>
      <c r="D8" s="15" t="n">
        <v>1</v>
      </c>
      <c r="E8" s="11" t="n">
        <v>28800</v>
      </c>
      <c r="F8" s="14" t="n">
        <v>2.3</v>
      </c>
      <c r="G8" s="11" t="n">
        <v>23000</v>
      </c>
      <c r="H8" s="18" t="n">
        <v>5800</v>
      </c>
      <c r="I8" s="17" t="n">
        <v>0.02788914066585323</v>
      </c>
      <c r="J8" s="3" t="inlineStr">
        <is>
          <t>可卖10000：除息后；已收股息8,000单列</t>
        </is>
      </c>
    </row>
    <row r="9">
      <c r="A9" s="12" t="inlineStr">
        <is>
          <t>P07</t>
        </is>
      </c>
      <c r="B9" s="11" t="n">
        <v>10000</v>
      </c>
      <c r="C9" s="14" t="n">
        <v>15.3</v>
      </c>
      <c r="D9" s="15" t="n">
        <v>0.92</v>
      </c>
      <c r="E9" s="11" t="n">
        <v>140760</v>
      </c>
      <c r="F9" s="14" t="n">
        <v>15.088</v>
      </c>
      <c r="G9" s="11" t="n">
        <v>150880</v>
      </c>
      <c r="H9" s="16" t="n">
        <v>-10120</v>
      </c>
      <c r="I9" s="17" t="n">
        <v>0.1363081750043577</v>
      </c>
      <c r="J9" s="3" t="inlineStr">
        <is>
          <t>可卖10000：正常，最小500份</t>
        </is>
      </c>
    </row>
    <row r="10">
      <c r="A10" s="2" t="inlineStr">
        <is>
          <t>证券合计</t>
        </is>
      </c>
      <c r="E10" s="19">
        <f>SUM(E3:E9)</f>
        <v/>
      </c>
      <c r="G10" s="19">
        <f>SUM(G3:G9)</f>
        <v/>
      </c>
      <c r="H10" s="19">
        <f>SUM(H3:H9)</f>
        <v/>
      </c>
      <c r="I10" s="20">
        <f>E10/1032660</f>
        <v/>
      </c>
    </row>
    <row r="11">
      <c r="A11" s="12" t="inlineStr">
        <is>
          <t>人民币现金</t>
        </is>
      </c>
      <c r="E11" s="11" t="n">
        <v>142500</v>
      </c>
      <c r="I11" s="17" t="n">
        <v>0.1379931439195863</v>
      </c>
    </row>
    <row r="12">
      <c r="A12" s="12" t="inlineStr">
        <is>
          <t>美元现金折算</t>
        </is>
      </c>
      <c r="E12" s="11" t="n">
        <v>21540</v>
      </c>
      <c r="I12" s="17" t="n">
        <v>0.02085875312300273</v>
      </c>
    </row>
    <row r="13">
      <c r="A13" s="12" t="inlineStr">
        <is>
          <t>待扣费用</t>
        </is>
      </c>
      <c r="E13" s="11" t="n">
        <v>-1200</v>
      </c>
      <c r="I13" s="17" t="n">
        <v>-0.001162047527743885</v>
      </c>
    </row>
    <row r="14">
      <c r="A14" s="21" t="inlineStr">
        <is>
          <t>总资产(勾稽)</t>
        </is>
      </c>
      <c r="E14" s="18" t="n">
        <v>1032660</v>
      </c>
      <c r="I14" s="22" t="n">
        <v>1</v>
      </c>
    </row>
    <row r="16">
      <c r="A16" s="2" t="inlineStr">
        <is>
          <t>P01批次台账</t>
        </is>
      </c>
    </row>
    <row r="17">
      <c r="A17" s="4" t="inlineStr">
        <is>
          <t>批次</t>
        </is>
      </c>
      <c r="B17" s="4" t="inlineStr">
        <is>
          <t>数量</t>
        </is>
      </c>
      <c r="C17" s="4" t="inlineStr">
        <is>
          <t>单位成本</t>
        </is>
      </c>
      <c r="D17" s="4" t="inlineStr">
        <is>
          <t>成本额</t>
        </is>
      </c>
      <c r="E17" s="4" t="inlineStr">
        <is>
          <t>当日买入</t>
        </is>
      </c>
      <c r="F17" s="4" t="inlineStr">
        <is>
          <t>可卖起始日</t>
        </is>
      </c>
    </row>
    <row r="18">
      <c r="A18" s="10" t="inlineStr">
        <is>
          <t>2026-05-10</t>
        </is>
      </c>
      <c r="B18" s="10" t="n">
        <v>2500</v>
      </c>
      <c r="C18" s="10" t="n">
        <v>43.2</v>
      </c>
      <c r="D18" s="10" t="n">
        <v>108000</v>
      </c>
      <c r="E18" s="10" t="inlineStr">
        <is>
          <t>否</t>
        </is>
      </c>
      <c r="F18" s="10" t="inlineStr">
        <is>
          <t>即日起可卖</t>
        </is>
      </c>
    </row>
    <row r="19">
      <c r="A19" s="10" t="inlineStr">
        <is>
          <t>2026-07-02</t>
        </is>
      </c>
      <c r="B19" s="10" t="n">
        <v>1500</v>
      </c>
      <c r="C19" s="10" t="n">
        <v>37.5</v>
      </c>
      <c r="D19" s="10" t="n">
        <v>56250</v>
      </c>
      <c r="E19" s="10" t="inlineStr">
        <is>
          <t>否</t>
        </is>
      </c>
      <c r="F19" s="10" t="inlineStr">
        <is>
          <t>即日起可卖</t>
        </is>
      </c>
    </row>
    <row r="20">
      <c r="A20" s="10" t="inlineStr">
        <is>
          <t>2026-08-14</t>
        </is>
      </c>
      <c r="B20" s="10" t="n">
        <v>1000</v>
      </c>
      <c r="C20" s="10" t="n">
        <v>31.9</v>
      </c>
      <c r="D20" s="10" t="n">
        <v>31900</v>
      </c>
      <c r="E20" s="10" t="inlineStr">
        <is>
          <t>是</t>
        </is>
      </c>
      <c r="F20" s="10" t="inlineStr">
        <is>
          <t>2026-08-17(T+1)</t>
        </is>
      </c>
    </row>
    <row r="21">
      <c r="A21" s="10" t="inlineStr">
        <is>
          <t>合计</t>
        </is>
      </c>
      <c r="B21" s="10" t="n">
        <v>5000</v>
      </c>
      <c r="C21" s="10" t="inlineStr"/>
      <c r="D21" s="10" t="n">
        <v>196150</v>
      </c>
      <c r="E21" s="10" t="inlineStr">
        <is>
          <t>可卖4000</t>
        </is>
      </c>
      <c r="F21" s="10" t="inlineStr">
        <is>
          <t>8/17后5000</t>
        </is>
      </c>
    </row>
  </sheetData>
  <mergeCells count="1">
    <mergeCell ref="A1:J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8" customWidth="1" min="4" max="4"/>
    <col width="16" customWidth="1" min="5" max="5"/>
    <col width="16" customWidth="1" min="6" max="6"/>
    <col width="12" customWidth="1" min="7" max="7"/>
    <col width="16" customWidth="1" min="8" max="8"/>
  </cols>
  <sheetData>
    <row r="1">
      <c r="A1" s="8" t="inlineStr">
        <is>
          <t>硬约束逐条判定（当前=交易前；主方案=划出后调仓后；反解=达标所需可执行整手）</t>
        </is>
      </c>
    </row>
    <row r="2">
      <c r="A2" s="9" t="inlineStr">
        <is>
          <t>约束</t>
        </is>
      </c>
      <c r="B2" s="9" t="inlineStr">
        <is>
          <t>阈值</t>
        </is>
      </c>
      <c r="C2" s="9" t="inlineStr">
        <is>
          <t>当前值</t>
        </is>
      </c>
      <c r="D2" s="9" t="inlineStr">
        <is>
          <t>达标反解值</t>
        </is>
      </c>
      <c r="E2" s="9" t="inlineStr">
        <is>
          <t>主方案后</t>
        </is>
      </c>
      <c r="F2" s="9" t="inlineStr">
        <is>
          <t>判定</t>
        </is>
      </c>
      <c r="G2" s="9" t="inlineStr">
        <is>
          <t>绑定/已消</t>
        </is>
      </c>
      <c r="H2" s="9" t="inlineStr">
        <is>
          <t>规则号</t>
        </is>
      </c>
    </row>
    <row r="3">
      <c r="A3" s="12" t="inlineStr">
        <is>
          <t>单票P05</t>
        </is>
      </c>
      <c r="B3" s="10" t="inlineStr">
        <is>
          <t>≤20%</t>
        </is>
      </c>
      <c r="C3" s="17" t="n">
        <v>0.2034</v>
      </c>
      <c r="D3" s="3" t="inlineStr">
        <is>
          <t>卖P05≥300股@105</t>
        </is>
      </c>
      <c r="E3" s="17" t="n">
        <v>0.1817</v>
      </c>
      <c r="F3" s="23" t="inlineStr">
        <is>
          <t>超限→达标</t>
        </is>
      </c>
      <c r="G3" s="3" t="inlineStr">
        <is>
          <t>主方案绑定</t>
        </is>
      </c>
      <c r="H3" s="10" t="inlineStr">
        <is>
          <t>R1</t>
        </is>
      </c>
    </row>
    <row r="4">
      <c r="A4" s="12" t="inlineStr">
        <is>
          <t>科技主题</t>
        </is>
      </c>
      <c r="B4" s="10" t="inlineStr">
        <is>
          <t>≤40%</t>
        </is>
      </c>
      <c r="C4" s="17" t="n">
        <v>0.6681</v>
      </c>
      <c r="D4" s="3" t="inlineStr">
        <is>
          <t>卖科技≥297,000元(整手)</t>
        </is>
      </c>
      <c r="E4" s="17" t="n">
        <v>0.3968</v>
      </c>
      <c r="F4" s="23" t="inlineStr">
        <is>
          <t>超限→达标</t>
        </is>
      </c>
      <c r="G4" s="3" t="inlineStr">
        <is>
          <t>最紧约束</t>
        </is>
      </c>
      <c r="H4" s="10" t="inlineStr">
        <is>
          <t>R1</t>
        </is>
      </c>
    </row>
    <row r="5">
      <c r="A5" s="12" t="inlineStr">
        <is>
          <t>高风险(高)</t>
        </is>
      </c>
      <c r="B5" s="10" t="inlineStr">
        <is>
          <t>≤45%</t>
        </is>
      </c>
      <c r="C5" s="17" t="n">
        <v>0.5318000000000001</v>
      </c>
      <c r="D5" s="3" t="inlineStr">
        <is>
          <t>卖高风险≥107,000元</t>
        </is>
      </c>
      <c r="E5" s="17" t="n">
        <v>0.3968</v>
      </c>
      <c r="F5" s="23" t="inlineStr">
        <is>
          <t>超限→达标</t>
        </is>
      </c>
      <c r="G5" s="3" t="inlineStr">
        <is>
          <t>随科技一并达标</t>
        </is>
      </c>
      <c r="H5" s="10" t="inlineStr">
        <is>
          <t>R1</t>
        </is>
      </c>
    </row>
    <row r="6">
      <c r="A6" s="12" t="inlineStr">
        <is>
          <t>外币敞口</t>
        </is>
      </c>
      <c r="B6" s="10" t="inlineStr">
        <is>
          <t>≤15%</t>
        </is>
      </c>
      <c r="C6" s="17" t="n">
        <v>0.1572</v>
      </c>
      <c r="D6" s="3" t="inlineStr">
        <is>
          <t>卖P07≥1500份并结汇</t>
        </is>
      </c>
      <c r="E6" s="17" t="n">
        <v>0.0219</v>
      </c>
      <c r="F6" s="23" t="inlineStr">
        <is>
          <t>超限→达标</t>
        </is>
      </c>
      <c r="G6" s="3" t="inlineStr">
        <is>
          <t>随P07清仓达标</t>
        </is>
      </c>
      <c r="H6" s="10" t="inlineStr">
        <is>
          <t>R1</t>
        </is>
      </c>
    </row>
    <row r="7">
      <c r="A7" s="12" t="inlineStr">
        <is>
          <t>划出后人民币现金</t>
        </is>
      </c>
      <c r="B7" s="10" t="inlineStr">
        <is>
          <t>≥10%</t>
        </is>
      </c>
      <c r="C7" s="11" t="n">
        <v>92500</v>
      </c>
      <c r="D7" s="3" t="inlineStr">
        <is>
          <t>卖净回笼≥5,766元</t>
        </is>
      </c>
      <c r="E7" s="11" t="n">
        <v>392412</v>
      </c>
      <c r="F7" s="23" t="inlineStr">
        <is>
          <t>缺口→达标</t>
        </is>
      </c>
      <c r="G7" s="3" t="inlineStr">
        <is>
          <t>随卖出达标</t>
        </is>
      </c>
      <c r="H7" s="10" t="inlineStr">
        <is>
          <t>R1</t>
        </is>
      </c>
    </row>
    <row r="8">
      <c r="A8" s="12" t="inlineStr">
        <is>
          <t>单票P02</t>
        </is>
      </c>
      <c r="B8" s="10" t="inlineStr">
        <is>
          <t>≤20%</t>
        </is>
      </c>
      <c r="C8" s="17" t="n">
        <v>0.1697</v>
      </c>
      <c r="D8" s="3" t="inlineStr">
        <is>
          <t>无需动作</t>
        </is>
      </c>
      <c r="E8" s="17" t="n">
        <v>0.1783</v>
      </c>
      <c r="F8" s="13" t="inlineStr">
        <is>
          <t>达标</t>
        </is>
      </c>
      <c r="G8" s="3" t="inlineStr">
        <is>
          <t>-</t>
        </is>
      </c>
      <c r="H8" s="10" t="inlineStr">
        <is>
          <t>监控R4</t>
        </is>
      </c>
    </row>
    <row r="9">
      <c r="A9" s="12" t="inlineStr">
        <is>
          <t>单票P01</t>
        </is>
      </c>
      <c r="B9" s="10" t="inlineStr">
        <is>
          <t>≤20%</t>
        </is>
      </c>
      <c r="C9" s="17" t="n">
        <v>0.1588</v>
      </c>
      <c r="D9" s="3" t="inlineStr">
        <is>
          <t>无需动作</t>
        </is>
      </c>
      <c r="E9" s="17" t="n">
        <v>0.0367</v>
      </c>
      <c r="F9" s="13" t="inlineStr">
        <is>
          <t>达标</t>
        </is>
      </c>
      <c r="G9" s="3" t="inlineStr">
        <is>
          <t>-</t>
        </is>
      </c>
      <c r="H9" s="10" t="inlineStr">
        <is>
          <t>-</t>
        </is>
      </c>
    </row>
    <row r="11">
      <c r="A11" s="2" t="inlineStr">
        <is>
          <t>加总校验</t>
        </is>
      </c>
      <c r="B11" s="3" t="inlineStr">
        <is>
          <t>交易后权重加总：P01 3.67%+P02 17.83%+P03 7.83%+P04 7.54%+P05 18.17%+P06 2.93%+P07 0%+现金39.94%+美元2.19%+费用-0.12% = 100.00%（误差0.00pp）。</t>
        </is>
      </c>
    </row>
  </sheetData>
  <mergeCells count="2">
    <mergeCell ref="B11:H11"/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8" customWidth="1" min="3" max="3"/>
    <col width="18" customWidth="1" min="4" max="4"/>
    <col width="30" customWidth="1" min="5" max="5"/>
  </cols>
  <sheetData>
    <row r="1">
      <c r="A1" s="8" t="inlineStr">
        <is>
          <t>方案对比：未调整 / 经理偏好 / 合规主方案</t>
        </is>
      </c>
    </row>
    <row r="2">
      <c r="A2" s="9" t="inlineStr">
        <is>
          <t>指标</t>
        </is>
      </c>
      <c r="B2" s="9" t="inlineStr">
        <is>
          <t>未调整(划出后)</t>
        </is>
      </c>
      <c r="C2" s="9" t="inlineStr">
        <is>
          <t>经理偏好(P05不减)</t>
        </is>
      </c>
      <c r="D2" s="9" t="inlineStr">
        <is>
          <t>合规主方案</t>
        </is>
      </c>
      <c r="E2" s="9" t="inlineStr">
        <is>
          <t>说明</t>
        </is>
      </c>
    </row>
    <row r="3">
      <c r="A3" s="12" t="inlineStr">
        <is>
          <t>总资产(元)</t>
        </is>
      </c>
      <c r="B3" s="10" t="n">
        <v>982660</v>
      </c>
      <c r="C3" s="10" t="n">
        <v>982660</v>
      </c>
      <c r="D3" s="10" t="n">
        <v>982392</v>
      </c>
      <c r="E3" s="3" t="inlineStr">
        <is>
          <t>主方案减费用268元</t>
        </is>
      </c>
    </row>
    <row r="4">
      <c r="A4" s="12" t="inlineStr">
        <is>
          <t>科技主题占比</t>
        </is>
      </c>
      <c r="B4" s="17" t="n">
        <v>0.6681</v>
      </c>
      <c r="C4" s="17" t="n">
        <v>0.6681</v>
      </c>
      <c r="D4" s="17" t="n">
        <v>0.3968</v>
      </c>
      <c r="E4" s="3" t="inlineStr">
        <is>
          <t>偏好方案不减P05→仍66.81%超限</t>
        </is>
      </c>
    </row>
    <row r="5">
      <c r="A5" s="12" t="inlineStr">
        <is>
          <t>高风险占比</t>
        </is>
      </c>
      <c r="B5" s="17" t="n">
        <v>0.5318000000000001</v>
      </c>
      <c r="C5" s="17" t="n">
        <v>0.5318000000000001</v>
      </c>
      <c r="D5" s="17" t="n">
        <v>0.3968</v>
      </c>
      <c r="E5" s="3" t="inlineStr"/>
    </row>
    <row r="6">
      <c r="A6" s="12" t="inlineStr">
        <is>
          <t>外币占比</t>
        </is>
      </c>
      <c r="B6" s="17" t="n">
        <v>0.1572</v>
      </c>
      <c r="C6" s="17" t="n">
        <v>0.1572</v>
      </c>
      <c r="D6" s="17" t="n">
        <v>0.0219</v>
      </c>
      <c r="E6" s="3" t="inlineStr"/>
    </row>
    <row r="7">
      <c r="A7" s="12" t="inlineStr">
        <is>
          <t>P05单票占比</t>
        </is>
      </c>
      <c r="B7" s="17" t="n">
        <v>0.2034</v>
      </c>
      <c r="C7" s="17" t="n">
        <v>0.2034</v>
      </c>
      <c r="D7" s="17" t="n">
        <v>0.1817</v>
      </c>
      <c r="E7" s="3" t="inlineStr"/>
    </row>
    <row r="8">
      <c r="A8" s="12" t="inlineStr">
        <is>
          <t>人民币现金占比</t>
        </is>
      </c>
      <c r="B8" s="17" t="n">
        <v>0.0941</v>
      </c>
      <c r="C8" s="17" t="n">
        <v>0.0941</v>
      </c>
      <c r="D8" s="17" t="n">
        <v>0.3994</v>
      </c>
      <c r="E8" s="3" t="inlineStr"/>
    </row>
    <row r="9">
      <c r="A9" s="12" t="inlineStr">
        <is>
          <t>五项约束判定</t>
        </is>
      </c>
      <c r="B9" s="10" t="inlineStr">
        <is>
          <t>4项超限+现金不足</t>
        </is>
      </c>
      <c r="C9" s="10" t="inlineStr">
        <is>
          <t>仍4项超限</t>
        </is>
      </c>
      <c r="D9" s="10" t="inlineStr">
        <is>
          <t>全部达标</t>
        </is>
      </c>
      <c r="E9" s="3" t="inlineStr">
        <is>
          <t>经理'暂不减持P05'未获客户/风险例外审批，不能替代上限</t>
        </is>
      </c>
    </row>
  </sheetData>
  <mergeCells count="1">
    <mergeCell ref="A1:E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2" customWidth="1" min="4" max="4"/>
    <col width="12" customWidth="1" min="5" max="5"/>
    <col width="12" customWidth="1" min="6" max="6"/>
    <col width="14" customWidth="1" min="7" max="7"/>
    <col width="14" customWidth="1" min="8" max="8"/>
    <col width="14" customWidth="1" min="9" max="9"/>
  </cols>
  <sheetData>
    <row r="1">
      <c r="A1" s="8" t="inlineStr">
        <is>
          <t>主方案交易明细（8/17限价卖出；数量为累计总卖出量，基准=当前持仓）</t>
        </is>
      </c>
    </row>
    <row r="2">
      <c r="A2" s="9" t="inlineStr">
        <is>
          <t>证券</t>
        </is>
      </c>
      <c r="B2" s="9" t="inlineStr">
        <is>
          <t>方向</t>
        </is>
      </c>
      <c r="C2" s="9" t="inlineStr">
        <is>
          <t>数量(股/份)</t>
        </is>
      </c>
      <c r="D2" s="9" t="inlineStr">
        <is>
          <t>限价</t>
        </is>
      </c>
      <c r="E2" s="9" t="inlineStr">
        <is>
          <t>成交额</t>
        </is>
      </c>
      <c r="F2" s="9" t="inlineStr">
        <is>
          <t>佣金</t>
        </is>
      </c>
      <c r="G2" s="9" t="inlineStr">
        <is>
          <t>印花税</t>
        </is>
      </c>
      <c r="H2" s="9" t="inlineStr">
        <is>
          <t>费用合计</t>
        </is>
      </c>
      <c r="I2" s="9" t="inlineStr">
        <is>
          <t>净回笼</t>
        </is>
      </c>
    </row>
    <row r="3">
      <c r="A3" s="12" t="inlineStr">
        <is>
          <t>P01</t>
        </is>
      </c>
      <c r="B3" s="10" t="inlineStr">
        <is>
          <t>卖出</t>
        </is>
      </c>
      <c r="C3" s="11" t="n">
        <v>3900</v>
      </c>
      <c r="D3" s="14" t="n">
        <v>32.8</v>
      </c>
      <c r="E3" s="11" t="n">
        <v>127920</v>
      </c>
      <c r="F3" s="14" t="n">
        <v>38.4</v>
      </c>
      <c r="G3" s="14" t="n">
        <v>63.96</v>
      </c>
      <c r="H3" s="14" t="n">
        <v>102.36</v>
      </c>
      <c r="I3" s="14" t="n">
        <v>127817.6</v>
      </c>
    </row>
    <row r="4">
      <c r="A4" s="12" t="inlineStr">
        <is>
          <t>P05</t>
        </is>
      </c>
      <c r="B4" s="10" t="inlineStr">
        <is>
          <t>卖出</t>
        </is>
      </c>
      <c r="C4" s="11" t="n">
        <v>300</v>
      </c>
      <c r="D4" s="14" t="n">
        <v>105</v>
      </c>
      <c r="E4" s="11" t="n">
        <v>31500</v>
      </c>
      <c r="F4" s="14" t="n">
        <v>9.449999999999999</v>
      </c>
      <c r="G4" s="14" t="n">
        <v>15.75</v>
      </c>
      <c r="H4" s="14" t="n">
        <v>25.2</v>
      </c>
      <c r="I4" s="14" t="n">
        <v>31474.8</v>
      </c>
    </row>
    <row r="5">
      <c r="A5" s="12" t="inlineStr">
        <is>
          <t>P07</t>
        </is>
      </c>
      <c r="B5" s="10" t="inlineStr">
        <is>
          <t>卖出</t>
        </is>
      </c>
      <c r="C5" s="11" t="n">
        <v>10000</v>
      </c>
      <c r="D5" s="14" t="n">
        <v>15.3</v>
      </c>
      <c r="E5" s="11" t="n">
        <v>140760</v>
      </c>
      <c r="F5" s="14" t="n">
        <v>0</v>
      </c>
      <c r="G5" s="14" t="n">
        <v>0</v>
      </c>
      <c r="H5" s="14" t="n">
        <v>140.76</v>
      </c>
      <c r="I5" s="14" t="n">
        <v>140619.24</v>
      </c>
    </row>
    <row r="6">
      <c r="A6" s="2" t="inlineStr">
        <is>
          <t>合计</t>
        </is>
      </c>
      <c r="E6" s="19" t="n">
        <v>300180</v>
      </c>
      <c r="H6" s="24" t="n">
        <v>268.32</v>
      </c>
      <c r="I6" s="24" t="n">
        <v>299911.68</v>
      </c>
    </row>
    <row r="8">
      <c r="A8" s="2" t="inlineStr">
        <is>
          <t>费用口径</t>
        </is>
      </c>
      <c r="B8" s="3" t="inlineStr">
        <is>
          <t>A股佣金0.03%(最低5)+印花税0.05%；境内ETF佣金0.02%(最低5)无印花税；港股ETF综合费0.10%。P01隐含费率0.080%、P05 0.080%、P07 0.100%，与题设一致。净回笼=成交额-费用合计。</t>
        </is>
      </c>
    </row>
    <row r="10">
      <c r="A10" s="2" t="inlineStr">
        <is>
          <t>实现盈亏(扣费后)</t>
        </is>
      </c>
    </row>
    <row r="11">
      <c r="A11" s="9" t="inlineStr">
        <is>
          <t>证券</t>
        </is>
      </c>
      <c r="B11" s="9" t="inlineStr">
        <is>
          <t>数量</t>
        </is>
      </c>
      <c r="C11" s="9" t="inlineStr">
        <is>
          <t>(现价-成本)×数量</t>
        </is>
      </c>
      <c r="D11" s="9" t="inlineStr">
        <is>
          <t>费用</t>
        </is>
      </c>
      <c r="E11" s="9" t="inlineStr">
        <is>
          <t>实现盈亏</t>
        </is>
      </c>
    </row>
    <row r="12">
      <c r="A12" s="10" t="inlineStr">
        <is>
          <t>P01</t>
        </is>
      </c>
      <c r="B12" s="10" t="n">
        <v>3900</v>
      </c>
      <c r="C12" s="14" t="n">
        <v>-32536.5</v>
      </c>
      <c r="D12" s="14" t="n">
        <v>102.36</v>
      </c>
      <c r="E12" s="14" t="n">
        <v>-32638.9</v>
      </c>
    </row>
    <row r="13">
      <c r="A13" s="10" t="inlineStr">
        <is>
          <t>P05</t>
        </is>
      </c>
      <c r="B13" s="10" t="n">
        <v>300</v>
      </c>
      <c r="C13" s="14" t="n">
        <v>6780</v>
      </c>
      <c r="D13" s="14" t="n">
        <v>25.2</v>
      </c>
      <c r="E13" s="14" t="n">
        <v>6754.8</v>
      </c>
    </row>
    <row r="14">
      <c r="A14" s="10" t="inlineStr">
        <is>
          <t>P07</t>
        </is>
      </c>
      <c r="B14" s="10" t="n">
        <v>10000</v>
      </c>
      <c r="C14" s="14" t="n">
        <v>-10120</v>
      </c>
      <c r="D14" s="14" t="n">
        <v>140.76</v>
      </c>
      <c r="E14" s="14" t="n">
        <v>-10260.8</v>
      </c>
    </row>
  </sheetData>
  <mergeCells count="2">
    <mergeCell ref="A1:I1"/>
    <mergeCell ref="B8:I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14" customWidth="1" min="3" max="3"/>
    <col width="14" customWidth="1" min="4" max="4"/>
    <col width="14" customWidth="1" min="5" max="5"/>
  </cols>
  <sheetData>
    <row r="1">
      <c r="A1" s="8" t="inlineStr">
        <is>
          <t>情景与压力（用所给60日年化波动率折算21交易日1σ月度波动×√(21/252)=×0.2887）</t>
        </is>
      </c>
    </row>
    <row r="2">
      <c r="A2" s="9" t="inlineStr">
        <is>
          <t>情景</t>
        </is>
      </c>
      <c r="B2" s="9" t="inlineStr">
        <is>
          <t>冲击路径</t>
        </is>
      </c>
      <c r="C2" s="9" t="inlineStr">
        <is>
          <t>组合盈亏</t>
        </is>
      </c>
      <c r="D2" s="9" t="inlineStr">
        <is>
          <t>收益率</t>
        </is>
      </c>
      <c r="E2" s="9" t="inlineStr">
        <is>
          <t>是否最不利</t>
        </is>
      </c>
    </row>
    <row r="3">
      <c r="A3" s="12" t="inlineStr">
        <is>
          <t>上行+1σ</t>
        </is>
      </c>
      <c r="B3" s="3" t="inlineStr">
        <is>
          <t>各持仓按自身1σ月度上行(P04停牌不计)</t>
        </is>
      </c>
      <c r="C3" s="11" t="n">
        <v>56882</v>
      </c>
      <c r="D3" s="17" t="n">
        <v>0.0579</v>
      </c>
      <c r="E3" s="10" t="inlineStr">
        <is>
          <t>否</t>
        </is>
      </c>
    </row>
    <row r="4">
      <c r="A4" s="12" t="inlineStr">
        <is>
          <t>横盘</t>
        </is>
      </c>
      <c r="B4" s="3" t="inlineStr">
        <is>
          <t>价格不变</t>
        </is>
      </c>
      <c r="C4" s="11" t="n">
        <v>0</v>
      </c>
      <c r="D4" s="17" t="n">
        <v>0</v>
      </c>
      <c r="E4" s="10" t="inlineStr">
        <is>
          <t>否</t>
        </is>
      </c>
    </row>
    <row r="5">
      <c r="A5" s="12" t="inlineStr">
        <is>
          <t>下行-1σ</t>
        </is>
      </c>
      <c r="B5" s="3" t="inlineStr">
        <is>
          <t>各持仓按自身1σ月度下行(P04停牌不计)</t>
        </is>
      </c>
      <c r="C5" s="16" t="n">
        <v>-56882</v>
      </c>
      <c r="D5" s="25" t="n">
        <v>-0.0579</v>
      </c>
      <c r="E5" s="10" t="inlineStr">
        <is>
          <t>最不利单期</t>
        </is>
      </c>
    </row>
    <row r="6">
      <c r="A6" s="12" t="inlineStr">
        <is>
          <t>连续两日-1σ</t>
        </is>
      </c>
      <c r="B6" s="3" t="inlineStr">
        <is>
          <t>次日作用于上日收盘，逐日复合</t>
        </is>
      </c>
      <c r="C6" s="16" t="n">
        <v>-107234</v>
      </c>
      <c r="D6" s="25" t="n">
        <v>-0.1092</v>
      </c>
      <c r="E6" s="10" t="inlineStr">
        <is>
          <t>最不利(复合)</t>
        </is>
      </c>
    </row>
    <row r="8">
      <c r="A8" s="2" t="inlineStr">
        <is>
          <t>对照</t>
        </is>
      </c>
      <c r="B8" s="3" t="inlineStr">
        <is>
          <t>调仓前-1σ月度下行亏损约87,694元(-8.49%)；调仓后降至56,882元(-5.79%)。P02(17.8%)与P05(18.2%)为剩余波动主要来源；P04停牌按冻结价、不参与压力标记。</t>
        </is>
      </c>
    </row>
  </sheetData>
  <mergeCells count="2">
    <mergeCell ref="A1:E1"/>
    <mergeCell ref="B8:E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10" customWidth="1" min="3" max="3"/>
    <col width="10" customWidth="1" min="4" max="4"/>
    <col width="14" customWidth="1" min="5" max="5"/>
    <col width="10" customWidth="1" min="6" max="6"/>
    <col width="14" customWidth="1" min="7" max="7"/>
    <col width="14" customWidth="1" min="8" max="8"/>
    <col width="14" customWidth="1" min="9" max="9"/>
    <col width="18" customWidth="1" min="10" max="10"/>
    <col width="16" customWidth="1" min="11" max="11"/>
  </cols>
  <sheetData>
    <row r="1">
      <c r="A1" s="8" t="inlineStr">
        <is>
          <t>if→then 交易纪律（数量口径见下；非执行声明）</t>
        </is>
      </c>
    </row>
    <row r="2">
      <c r="A2" s="9" t="inlineStr">
        <is>
          <t>规则号</t>
        </is>
      </c>
      <c r="B2" s="9" t="inlineStr">
        <is>
          <t>触发条件(阈值+时点)</t>
        </is>
      </c>
      <c r="C2" s="9" t="inlineStr">
        <is>
          <t>方向自检</t>
        </is>
      </c>
      <c r="D2" s="9" t="inlineStr">
        <is>
          <t>动作</t>
        </is>
      </c>
      <c r="E2" s="9" t="inlineStr">
        <is>
          <t>数量</t>
        </is>
      </c>
      <c r="F2" s="9" t="inlineStr">
        <is>
          <t>数量口径</t>
        </is>
      </c>
      <c r="G2" s="9" t="inlineStr">
        <is>
          <t>基准持仓</t>
        </is>
      </c>
      <c r="H2" s="9" t="inlineStr">
        <is>
          <t>目标权重</t>
        </is>
      </c>
      <c r="I2" s="9" t="inlineStr">
        <is>
          <t>费用与净回笼</t>
        </is>
      </c>
      <c r="J2" s="9" t="inlineStr">
        <is>
          <t>执行时点</t>
        </is>
      </c>
      <c r="K2" s="9" t="inlineStr">
        <is>
          <t>未成交后手/交易后复核</t>
        </is>
      </c>
    </row>
    <row r="3" ht="58" customHeight="1">
      <c r="A3" s="3" t="inlineStr">
        <is>
          <t>R1</t>
        </is>
      </c>
      <c r="B3" s="3" t="inlineStr">
        <is>
          <t>8/17开盘；主方案卖单限价有效、可卖量仍有效</t>
        </is>
      </c>
      <c r="C3" s="3" t="inlineStr">
        <is>
          <t>卖出降科技/高风险/外币，方向一致</t>
        </is>
      </c>
      <c r="D3" s="3" t="inlineStr">
        <is>
          <t>限价卖出P01+P05+P07</t>
        </is>
      </c>
      <c r="E3" s="3" t="inlineStr">
        <is>
          <t>P01=3900,P05=300,P07=10000</t>
        </is>
      </c>
      <c r="F3" s="3" t="inlineStr">
        <is>
          <t>累计总卖出量</t>
        </is>
      </c>
      <c r="G3" s="3" t="inlineStr">
        <is>
          <t>P01余1100/P05余1700/P07余0</t>
        </is>
      </c>
      <c r="H3" s="3" t="inlineStr">
        <is>
          <t>科技≤40%</t>
        </is>
      </c>
      <c r="I3" s="3" t="inlineStr">
        <is>
          <t>费用268,净回笼299,912</t>
        </is>
      </c>
      <c r="J3" s="3" t="inlineStr">
        <is>
          <t>8/17</t>
        </is>
      </c>
      <c r="K3" s="3" t="inlineStr">
        <is>
          <t>未成交转R2；成交后复核五项约束</t>
        </is>
      </c>
    </row>
    <row r="4" ht="58" customHeight="1">
      <c r="A4" s="3" t="inlineStr">
        <is>
          <t>R2</t>
        </is>
      </c>
      <c r="B4" s="3" t="inlineStr">
        <is>
          <t>R1中任一标的跌停/停牌/零买盘/仅部分成交</t>
        </is>
      </c>
      <c r="C4" s="3" t="inlineStr">
        <is>
          <t>成交记0，不写已完成</t>
        </is>
      </c>
      <c r="D4" s="3" t="inlineStr">
        <is>
          <t>改卖流动性最好的P06或P03补现金缺口，缺科技削减额用剩余可卖科技补足</t>
        </is>
      </c>
      <c r="E4" s="3" t="inlineStr">
        <is>
          <t>按整手重算补足</t>
        </is>
      </c>
      <c r="F4" s="3" t="inlineStr">
        <is>
          <t>本阶段追加量</t>
        </is>
      </c>
      <c r="G4" s="3" t="inlineStr">
        <is>
          <t>R1已成交量</t>
        </is>
      </c>
      <c r="H4" s="3" t="inlineStr">
        <is>
          <t>科技仍≤40%</t>
        </is>
      </c>
      <c r="I4" s="3" t="inlineStr">
        <is>
          <t>按费率表重算</t>
        </is>
      </c>
      <c r="J4" s="3" t="inlineStr">
        <is>
          <t>8/17当日</t>
        </is>
      </c>
      <c r="K4" s="3" t="inlineStr">
        <is>
          <t>若可卖科技不足，则标注'待复牌/开板后补足'，不得声称已合规</t>
        </is>
      </c>
    </row>
    <row r="5" ht="58" customHeight="1">
      <c r="A5" s="3" t="inlineStr">
        <is>
          <t>R3</t>
        </is>
      </c>
      <c r="B5" s="3" t="inlineStr">
        <is>
          <t>科技或高风险权重因上涨重新逼近上限(≥38%/43%)时</t>
        </is>
      </c>
      <c r="C5" s="3" t="inlineStr">
        <is>
          <t>上涨才恶化指标，方向自检通过</t>
        </is>
      </c>
      <c r="D5" s="3" t="inlineStr">
        <is>
          <t>按当时价反解整手再减科技/高风险</t>
        </is>
      </c>
      <c r="E5" s="3" t="inlineStr">
        <is>
          <t>目标权重反解、向上取整手</t>
        </is>
      </c>
      <c r="F5" s="3" t="inlineStr">
        <is>
          <t>本阶段追加量</t>
        </is>
      </c>
      <c r="G5" s="3" t="inlineStr">
        <is>
          <t>R1后持仓</t>
        </is>
      </c>
      <c r="H5" s="3" t="inlineStr">
        <is>
          <t>科技≤40%/高≤45%</t>
        </is>
      </c>
      <c r="I5" s="3" t="inlineStr">
        <is>
          <t>按费率表</t>
        </is>
      </c>
      <c r="J5" s="3" t="inlineStr">
        <is>
          <t>触发次日</t>
        </is>
      </c>
      <c r="K5" s="3" t="inlineStr">
        <is>
          <t>不得加仓/回补/做T；待回到限内再评估</t>
        </is>
      </c>
    </row>
    <row r="6" ht="58" customHeight="1">
      <c r="A6" s="3" t="inlineStr">
        <is>
          <t>R4</t>
        </is>
      </c>
      <c r="B6" s="3" t="inlineStr">
        <is>
          <t>P02打开跌停可成交</t>
        </is>
      </c>
      <c r="C6" s="3" t="inlineStr">
        <is>
          <t>P02为科技+高风险，卖出降指标</t>
        </is>
      </c>
      <c r="D6" s="3" t="inlineStr">
        <is>
          <t>优先卖出P02直至科技/高风险余量充足</t>
        </is>
      </c>
      <c r="E6" s="3" t="inlineStr">
        <is>
          <t>按反解整手</t>
        </is>
      </c>
      <c r="F6" s="3" t="inlineStr">
        <is>
          <t>本阶段追加量</t>
        </is>
      </c>
      <c r="G6" s="3" t="inlineStr">
        <is>
          <t>P02现持3000</t>
        </is>
      </c>
      <c r="H6" s="3" t="inlineStr">
        <is>
          <t>单票≤20%</t>
        </is>
      </c>
      <c r="I6" s="3" t="inlineStr">
        <is>
          <t>A股费率</t>
        </is>
      </c>
      <c r="J6" s="3" t="inlineStr">
        <is>
          <t>开板当日</t>
        </is>
      </c>
      <c r="K6" s="3" t="inlineStr">
        <is>
          <t>开板不确定则继续等待，不挂追单</t>
        </is>
      </c>
    </row>
    <row r="7" ht="58" customHeight="1">
      <c r="A7" s="3" t="inlineStr">
        <is>
          <t>R5</t>
        </is>
      </c>
      <c r="B7" s="3" t="inlineStr">
        <is>
          <t>P04复牌</t>
        </is>
      </c>
      <c r="C7" s="3" t="inlineStr">
        <is>
          <t>P04非科技/非外币，仅流动性</t>
        </is>
      </c>
      <c r="D7" s="3" t="inlineStr">
        <is>
          <t>复牌首日不强制卖出，仅复算权重</t>
        </is>
      </c>
      <c r="E7" s="3" t="inlineStr">
        <is>
          <t>0(先观察)</t>
        </is>
      </c>
      <c r="F7" s="3" t="inlineStr">
        <is>
          <t>-</t>
        </is>
      </c>
      <c r="G7" s="3" t="inlineStr">
        <is>
          <t>P04现持6000</t>
        </is>
      </c>
      <c r="H7" s="3" t="inlineStr">
        <is>
          <t>-</t>
        </is>
      </c>
      <c r="I7" s="3" t="inlineStr">
        <is>
          <t>-</t>
        </is>
      </c>
      <c r="J7" s="3" t="inlineStr">
        <is>
          <t>复牌首日</t>
        </is>
      </c>
      <c r="K7" s="3" t="inlineStr">
        <is>
          <t>停牌期间该仓位不可用于成交勾稽</t>
        </is>
      </c>
    </row>
    <row r="8" ht="58" customHeight="1">
      <c r="A8" s="3" t="inlineStr">
        <is>
          <t>R6</t>
        </is>
      </c>
      <c r="B8" s="3" t="inlineStr">
        <is>
          <t>8/17划出5万后，人民币现金&lt;10%×划出后总资产</t>
        </is>
      </c>
      <c r="C8" s="3" t="inlineStr">
        <is>
          <t>现金不足时恶化流动性</t>
        </is>
      </c>
      <c r="D8" s="3" t="inlineStr">
        <is>
          <t>用可卖非科技仓位(P06/P03)补现金</t>
        </is>
      </c>
      <c r="E8" s="3" t="inlineStr">
        <is>
          <t>补足缺口至≥10.5%余量</t>
        </is>
      </c>
      <c r="F8" s="3" t="inlineStr">
        <is>
          <t>本阶段追加量</t>
        </is>
      </c>
      <c r="G8" s="3" t="inlineStr">
        <is>
          <t>划出后现金</t>
        </is>
      </c>
      <c r="H8" s="3" t="inlineStr">
        <is>
          <t>现金≥10%</t>
        </is>
      </c>
      <c r="I8" s="3" t="inlineStr">
        <is>
          <t>按费率表</t>
        </is>
      </c>
      <c r="J8" s="3" t="inlineStr">
        <is>
          <t>8/18复核</t>
        </is>
      </c>
      <c r="K8" s="3" t="inlineStr">
        <is>
          <t>主方案现金已39.94%，一般无需触发</t>
        </is>
      </c>
    </row>
    <row r="9" ht="58" customHeight="1">
      <c r="A9" s="3" t="inlineStr">
        <is>
          <t>R7</t>
        </is>
      </c>
      <c r="B9" s="3" t="inlineStr">
        <is>
          <t>P07港币回笼</t>
        </is>
      </c>
      <c r="C9" s="3" t="inlineStr">
        <is>
          <t>需结汇才降外币</t>
        </is>
      </c>
      <c r="D9" s="3" t="inlineStr">
        <is>
          <t>将P07净回笼港币结汇为人民币</t>
        </is>
      </c>
      <c r="E9" s="3" t="inlineStr">
        <is>
          <t>按成交净回笼结汇</t>
        </is>
      </c>
      <c r="F9" s="3" t="inlineStr">
        <is>
          <t>-</t>
        </is>
      </c>
      <c r="G9" s="3" t="inlineStr">
        <is>
          <t>P07为0</t>
        </is>
      </c>
      <c r="H9" s="3" t="inlineStr">
        <is>
          <t>外币≤15%</t>
        </is>
      </c>
      <c r="I9" s="3" t="inlineStr">
        <is>
          <t>结汇成本另计</t>
        </is>
      </c>
      <c r="J9" s="3" t="inlineStr">
        <is>
          <t>8/17-8/18</t>
        </is>
      </c>
      <c r="K9" s="3" t="inlineStr">
        <is>
          <t>未结汇前外币按含港币现金口径，不得宣称已达标</t>
        </is>
      </c>
    </row>
  </sheetData>
  <mergeCells count="1">
    <mergeCell ref="A1:K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26" customWidth="1" min="3" max="3"/>
    <col width="26" customWidth="1" min="4" max="4"/>
    <col width="26" customWidth="1" min="5" max="5"/>
  </cols>
  <sheetData>
    <row r="1">
      <c r="A1" s="8" t="inlineStr">
        <is>
          <t>假设与缺失清单</t>
        </is>
      </c>
    </row>
    <row r="2">
      <c r="A2" s="9" t="inlineStr">
        <is>
          <t>条目</t>
        </is>
      </c>
      <c r="B2" s="9" t="inlineStr">
        <is>
          <t>类型</t>
        </is>
      </c>
      <c r="C2" s="9" t="inlineStr">
        <is>
          <t>来源/依据</t>
        </is>
      </c>
      <c r="D2" s="9" t="inlineStr">
        <is>
          <t>影响哪些结论</t>
        </is>
      </c>
      <c r="E2" s="9" t="inlineStr">
        <is>
          <t>补齐后需重算什么</t>
        </is>
      </c>
    </row>
    <row r="3">
      <c r="A3" s="3" t="inlineStr">
        <is>
          <t>托管总资产1,032,660为主口径</t>
        </is>
      </c>
      <c r="B3" s="3" t="inlineStr">
        <is>
          <t>已确认事实</t>
        </is>
      </c>
      <c r="C3" s="3" t="inlineStr">
        <is>
          <t>明细自下而上加总无残差</t>
        </is>
      </c>
      <c r="D3" s="3" t="inlineStr">
        <is>
          <t>全部权重与约束</t>
        </is>
      </c>
      <c r="E3" s="3" t="inlineStr">
        <is>
          <t>-</t>
        </is>
      </c>
    </row>
    <row r="4">
      <c r="A4" s="3" t="inlineStr">
        <is>
          <t>组合经理1,029,000差3,660</t>
        </is>
      </c>
      <c r="B4" s="3" t="inlineStr">
        <is>
          <t>仍缺证据</t>
        </is>
      </c>
      <c r="C4" s="3" t="inlineStr">
        <is>
          <t>无法由明细复现</t>
        </is>
      </c>
      <c r="D4" s="3" t="inlineStr">
        <is>
          <t>权重分母敏感性</t>
        </is>
      </c>
      <c r="E4" s="3" t="inlineStr">
        <is>
          <t>取得经理工作表口径后重算权重</t>
        </is>
      </c>
    </row>
    <row r="5">
      <c r="A5" s="3" t="inlineStr">
        <is>
          <t>P02跌停成交不确定</t>
        </is>
      </c>
      <c r="B5" s="3" t="inlineStr">
        <is>
          <t>已确认事实</t>
        </is>
      </c>
      <c r="C5" s="3" t="inlineStr">
        <is>
          <t>附件说明</t>
        </is>
      </c>
      <c r="D5" s="3" t="inlineStr">
        <is>
          <t>R4后手、科技达标路径</t>
        </is>
      </c>
      <c r="E5" s="3" t="inlineStr">
        <is>
          <t>开板价/量确认后重算</t>
        </is>
      </c>
    </row>
    <row r="6">
      <c r="A6" s="3" t="inlineStr">
        <is>
          <t>P04停牌复牌日未定</t>
        </is>
      </c>
      <c r="B6" s="3" t="inlineStr">
        <is>
          <t>已确认事实</t>
        </is>
      </c>
      <c r="C6" s="3" t="inlineStr">
        <is>
          <t>附件说明</t>
        </is>
      </c>
      <c r="D6" s="3" t="inlineStr">
        <is>
          <t>P04不参与成交/压力标记</t>
        </is>
      </c>
      <c r="E6" s="3" t="inlineStr">
        <is>
          <t>复牌后重算</t>
        </is>
      </c>
    </row>
    <row r="7">
      <c r="A7" s="3" t="inlineStr">
        <is>
          <t>P01当日买入1000股T+1</t>
        </is>
      </c>
      <c r="B7" s="3" t="inlineStr">
        <is>
          <t>已确认事实</t>
        </is>
      </c>
      <c r="C7" s="3" t="inlineStr">
        <is>
          <t>附件说明</t>
        </is>
      </c>
      <c r="D7" s="3" t="inlineStr">
        <is>
          <t>8/17前可卖仅4000</t>
        </is>
      </c>
      <c r="E7" s="3" t="inlineStr">
        <is>
          <t>-</t>
        </is>
      </c>
    </row>
    <row r="8">
      <c r="A8" s="3" t="inlineStr">
        <is>
          <t>P07回笼结汇为人民币</t>
        </is>
      </c>
      <c r="B8" s="3" t="inlineStr">
        <is>
          <t>合理推断</t>
        </is>
      </c>
      <c r="C8" s="3" t="inlineStr">
        <is>
          <t>需人民币现金与降外币</t>
        </is>
      </c>
      <c r="D8" s="3" t="inlineStr">
        <is>
          <t>外币与现金达标</t>
        </is>
      </c>
      <c r="E8" s="3" t="inlineStr">
        <is>
          <t>实际结汇价/时点</t>
        </is>
      </c>
    </row>
    <row r="9">
      <c r="A9" s="3" t="inlineStr">
        <is>
          <t>P06重建成本=3.1-0.80=2.30</t>
        </is>
      </c>
      <c r="B9" s="3" t="inlineStr">
        <is>
          <t>合理推断</t>
        </is>
      </c>
      <c r="C9" s="3" t="inlineStr">
        <is>
          <t>除息总回报口径</t>
        </is>
      </c>
      <c r="D9" s="3" t="inlineStr">
        <is>
          <t>P06浮盈5,800</t>
        </is>
      </c>
      <c r="E9" s="3" t="inlineStr">
        <is>
          <t>-</t>
        </is>
      </c>
    </row>
    <row r="10">
      <c r="A10" s="3" t="inlineStr">
        <is>
          <t>无过户费/无滑点</t>
        </is>
      </c>
      <c r="B10" s="3" t="inlineStr">
        <is>
          <t>仍缺证据</t>
        </is>
      </c>
      <c r="C10" s="3" t="inlineStr">
        <is>
          <t>附件未给</t>
        </is>
      </c>
      <c r="D10" s="3" t="inlineStr">
        <is>
          <t>费用268元</t>
        </is>
      </c>
      <c r="E10" s="3" t="inlineStr">
        <is>
          <t>题设补全后重算费用</t>
        </is>
      </c>
    </row>
    <row r="11">
      <c r="A11" s="3" t="inlineStr">
        <is>
          <t>完整协方差/组合波动率缺失</t>
        </is>
      </c>
      <c r="B11" s="3" t="inlineStr">
        <is>
          <t>仍缺证据</t>
        </is>
      </c>
      <c r="C11" s="3" t="inlineStr">
        <is>
          <t>仅有单票波动与对P05相关</t>
        </is>
      </c>
      <c r="D11" s="3" t="inlineStr">
        <is>
          <t>风险贡献分解</t>
        </is>
      </c>
      <c r="E11" s="3" t="inlineStr">
        <is>
          <t>取得协方差后补边际风险贡献</t>
        </is>
      </c>
    </row>
    <row r="12">
      <c r="A12" s="3" t="inlineStr">
        <is>
          <t>经理'暂不减持P05'未获批</t>
        </is>
      </c>
      <c r="B12" s="3" t="inlineStr">
        <is>
          <t>已确认事实</t>
        </is>
      </c>
      <c r="C12" s="3" t="inlineStr">
        <is>
          <t>讨论记录</t>
        </is>
      </c>
      <c r="D12" s="3" t="inlineStr">
        <is>
          <t>不能替代单票/科技上限</t>
        </is>
      </c>
      <c r="E12" s="3" t="inlineStr">
        <is>
          <t>-</t>
        </is>
      </c>
    </row>
  </sheetData>
  <mergeCells count="1">
    <mergeCell ref="A1:E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>
      <c r="A1" s="8" t="inlineStr">
        <is>
          <t>交付自检回执表</t>
        </is>
      </c>
    </row>
    <row r="2">
      <c r="A2" s="9" t="inlineStr">
        <is>
          <t>自检项</t>
        </is>
      </c>
      <c r="B2" s="9" t="inlineStr">
        <is>
          <t>填值</t>
        </is>
      </c>
    </row>
    <row r="3" ht="34" customHeight="1">
      <c r="A3" s="2" t="inlineStr">
        <is>
          <t>交付清单</t>
        </is>
      </c>
      <c r="B3" s="3" t="inlineStr">
        <is>
          <t>声明1件/实际1件/《组合持仓诊断与交易纪律.xlsx》（含15张表，原始输入4张分表保留）</t>
        </is>
      </c>
    </row>
    <row r="4" ht="34" customHeight="1">
      <c r="A4" s="2" t="inlineStr">
        <is>
          <t>最紧约束</t>
        </is>
      </c>
      <c r="B4" s="3" t="inlineStr">
        <is>
          <t>科技主题/当前66.81%/阈值40%/反解卖科技≥297,000元(整手)/规则R1</t>
        </is>
      </c>
    </row>
    <row r="5" ht="34" customHeight="1">
      <c r="A5" s="2" t="inlineStr">
        <is>
          <t>分解型占比加总</t>
        </is>
      </c>
      <c r="B5" s="3" t="inlineStr">
        <is>
          <t>交易后权重加总=100.00%（误差0.00pp）；证券市值加总=869,820与托管一致</t>
        </is>
      </c>
    </row>
    <row r="6" ht="34" customHeight="1">
      <c r="A6" s="2" t="inlineStr">
        <is>
          <t>最不利情景</t>
        </is>
      </c>
      <c r="B6" s="3" t="inlineStr">
        <is>
          <t>连续两日-1σ复合/亏损-107,234元(-10.92%)/阈值无硬性损失线，仅作回撤监控</t>
        </is>
      </c>
    </row>
    <row r="7" ht="34" customHeight="1">
      <c r="A7" s="2" t="inlineStr">
        <is>
          <t>日期来源</t>
        </is>
      </c>
      <c r="B7" s="3" t="inlineStr">
        <is>
          <t>8/17卖出与划出日取自交易日历(周一)；8/15-16周末非交易日</t>
        </is>
      </c>
    </row>
    <row r="8" ht="34" customHeight="1">
      <c r="A8" s="2" t="inlineStr">
        <is>
          <t>数量口径</t>
        </is>
      </c>
      <c r="B8" s="3" t="inlineStr">
        <is>
          <t>R1=累计总卖出量(P01 3900/P05 300/P07 10000)；R2/R3/R4/R6=本阶段追加量；基准=当前持仓</t>
        </is>
      </c>
    </row>
    <row r="9" ht="34" customHeight="1">
      <c r="A9" s="2" t="inlineStr">
        <is>
          <t>费用口径</t>
        </is>
      </c>
      <c r="B9" s="3" t="inlineStr">
        <is>
          <t>P01隐含0.080%、P05 0.080%、P07 0.100%，与题设费率表一致；总费用268.32元</t>
        </is>
      </c>
    </row>
    <row r="10" ht="34" customHeight="1">
      <c r="A10" s="2" t="inlineStr">
        <is>
          <t>跨文件一致</t>
        </is>
      </c>
      <c r="B10" s="3" t="inlineStr">
        <is>
          <t>抽查：托管总资产1,032,660在勾稽表/持仓表/摘要一致；主方案科技39.68%在约束表/方案对比/摘要一致</t>
        </is>
      </c>
    </row>
    <row r="12" ht="40" customHeight="1">
      <c r="A12" s="26" t="inlineStr">
        <is>
          <t>非执行声明</t>
        </is>
      </c>
      <c r="B12" s="3" t="inlineStr">
        <is>
          <t>本工作簿仅为调仓前分析与交易纪律设计，未访问互联网、未补充附件外行情、不代表任何委托已下达或成交，不以保证回本或收益为依据。</t>
        </is>
      </c>
    </row>
  </sheetData>
  <mergeCells count="2">
    <mergeCell ref="B1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2026-09-18T12:21:05Z</dcterms:created>
  <dcterms:modified xmlns:dcterms="http://purl.org/dc/terms/" xmlns:xsi="http://www.w3.org/2001/XMLSchema-instance" xsi:type="dcterms:W3CDTF">2026-09-18T12:21:05Z</dcterms:modified>
</cp:coreProperties>
</file>