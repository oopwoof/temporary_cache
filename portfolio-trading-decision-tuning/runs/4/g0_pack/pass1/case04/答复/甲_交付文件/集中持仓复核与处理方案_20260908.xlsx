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核对" sheetId="1" state="visible" r:id="rId1"/>
    <sheet xmlns:r="http://schemas.openxmlformats.org/officeDocument/2006/relationships" name="参数与费率" sheetId="2" state="visible" r:id="rId2"/>
    <sheet xmlns:r="http://schemas.openxmlformats.org/officeDocument/2006/relationships" name="调整与情景测算" sheetId="3" state="visible" r:id="rId3"/>
    <sheet xmlns:r="http://schemas.openxmlformats.org/officeDocument/2006/relationships" name="客户沟通说明" sheetId="4" state="visible" r:id="rId4"/>
    <sheet xmlns:r="http://schemas.openxmlformats.org/officeDocument/2006/relationships" name="核验" sheetId="5" state="visible" r:id="rId5"/>
    <sheet xmlns:r="http://schemas.openxmlformats.org/officeDocument/2006/relationships" name="自检与假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10" fontId="0" fillId="0" borderId="1" pivotButton="0" quotePrefix="0" xfId="0"/>
    <xf numFmtId="0" fontId="3" fillId="0" borderId="1" pivotButton="0" quotePrefix="0" xfId="0"/>
    <xf numFmtId="10" fontId="3" fillId="0" borderId="1" pivotButton="0" quotePrefix="0" xfId="0"/>
    <xf numFmtId="1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3" borderId="1" pivotButton="0" quotePrefix="0" xfId="0"/>
    <xf numFmtId="0" fontId="0" fillId="3" borderId="0" pivotButton="0" quotePrefix="0" xfId="0"/>
    <xf numFmtId="164" fontId="0" fillId="3" borderId="1" pivotButton="0" quotePrefix="0" xfId="0"/>
    <xf numFmtId="9" fontId="0" fillId="3" borderId="0" pivotButton="0" quotePrefix="0" xfId="0"/>
    <xf numFmtId="0" fontId="4" fillId="0" borderId="0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账户核对：13:00汇总页 vs 14:30明细（as-of=2026-09-08 14:30）</t>
        </is>
      </c>
    </row>
    <row r="3">
      <c r="A3" s="2" t="inlineStr">
        <is>
          <t>一、两时点总资产勾稽</t>
        </is>
      </c>
    </row>
    <row r="4">
      <c r="A4" s="3" t="inlineStr">
        <is>
          <t>项目</t>
        </is>
      </c>
      <c r="B4" s="3" t="inlineStr">
        <is>
          <t>13:00汇总页</t>
        </is>
      </c>
      <c r="C4" s="3" t="inlineStr">
        <is>
          <t>14:30明细</t>
        </is>
      </c>
      <c r="D4" s="3" t="inlineStr">
        <is>
          <t>差额(13:00-14:30)</t>
        </is>
      </c>
      <c r="E4" s="3" t="inlineStr">
        <is>
          <t>差额来源</t>
        </is>
      </c>
    </row>
    <row r="5">
      <c r="A5" s="4" t="inlineStr">
        <is>
          <t>证券市值</t>
        </is>
      </c>
      <c r="B5" s="5">
        <f>SUMPRODUCT(参数与费率!$C$4:$C$8,参数与费率!$G$4:$G$8)</f>
        <v/>
      </c>
      <c r="C5" s="5">
        <f>SUMPRODUCT(参数与费率!$C$4:$C$8,参数与费率!$F$4:$F$8)</f>
        <v/>
      </c>
      <c r="D5" s="5">
        <f>B5-C5</f>
        <v/>
      </c>
      <c r="E5" s="4" t="inlineStr">
        <is>
          <t>EQ01由26→25、EQ02由31→30，其余价格不变</t>
        </is>
      </c>
    </row>
    <row r="6">
      <c r="A6" s="4" t="inlineStr">
        <is>
          <t>现金</t>
        </is>
      </c>
      <c r="B6" s="5">
        <f>参数与费率!$B$10</f>
        <v/>
      </c>
      <c r="C6" s="5">
        <f>参数与费率!$B$10</f>
        <v/>
      </c>
      <c r="D6" s="5">
        <f>B6-C6</f>
        <v/>
      </c>
      <c r="E6" s="4" t="inlineStr">
        <is>
          <t>现金全天未变(今日买入已在晨间扣过)</t>
        </is>
      </c>
    </row>
    <row r="7">
      <c r="A7" s="4" t="inlineStr">
        <is>
          <t>净资产合计</t>
        </is>
      </c>
      <c r="B7" s="5">
        <f>B5+B6</f>
        <v/>
      </c>
      <c r="C7" s="5">
        <f>C5+C6</f>
        <v/>
      </c>
      <c r="D7" s="5">
        <f>B7-C7</f>
        <v/>
      </c>
      <c r="E7" s="4" t="inlineStr">
        <is>
          <t>汇总页未随14:30报价更新；采用14:30为测算基准</t>
        </is>
      </c>
    </row>
    <row r="8">
      <c r="A8" s="4" t="inlineStr">
        <is>
          <t>与汇总页总资产对账</t>
        </is>
      </c>
      <c r="B8" s="5">
        <f>参数与费率!$B$11</f>
        <v/>
      </c>
      <c r="C8" s="5">
        <f>B7</f>
        <v/>
      </c>
      <c r="D8" s="5">
        <f>B8-C8</f>
        <v/>
      </c>
      <c r="E8" s="4" t="inlineStr">
        <is>
          <t>13:00勾平=0即与交接记录一致；14:30为新基准</t>
        </is>
      </c>
    </row>
    <row r="10">
      <c r="A10" s="2" t="inlineStr">
        <is>
          <t>二、批次台账与未调整盈亏（按14:30价）</t>
        </is>
      </c>
    </row>
    <row r="11">
      <c r="A11" s="3" t="inlineStr">
        <is>
          <t>代号</t>
        </is>
      </c>
      <c r="B11" s="3" t="inlineStr">
        <is>
          <t>批次</t>
        </is>
      </c>
      <c r="C11" s="3" t="inlineStr">
        <is>
          <t>数量</t>
        </is>
      </c>
      <c r="D11" s="3" t="inlineStr">
        <is>
          <t>批次成本</t>
        </is>
      </c>
      <c r="E11" s="3" t="inlineStr">
        <is>
          <t>14:30价</t>
        </is>
      </c>
      <c r="F11" s="3" t="inlineStr">
        <is>
          <t>14:30市值</t>
        </is>
      </c>
      <c r="G11" s="3" t="inlineStr">
        <is>
          <t>浮动盈亏</t>
        </is>
      </c>
      <c r="H11" s="3" t="inlineStr">
        <is>
          <t>权重(/净资产)</t>
        </is>
      </c>
      <c r="I11" s="3" t="inlineStr">
        <is>
          <t>今日可卖</t>
        </is>
      </c>
    </row>
    <row r="12">
      <c r="A12" s="4">
        <f>参数与费率!$A$4</f>
        <v/>
      </c>
      <c r="B12" s="4">
        <f>参数与费率!$B$4</f>
        <v/>
      </c>
      <c r="C12" s="6">
        <f>参数与费率!$C$4</f>
        <v/>
      </c>
      <c r="D12" s="6">
        <f>参数与费率!$D$4</f>
        <v/>
      </c>
      <c r="E12" s="7">
        <f>参数与费率!$F$4</f>
        <v/>
      </c>
      <c r="F12" s="6">
        <f>C12*E12</f>
        <v/>
      </c>
      <c r="G12" s="6">
        <f>F12-D12</f>
        <v/>
      </c>
      <c r="H12" s="8">
        <f>F12/$C$7</f>
        <v/>
      </c>
      <c r="I12" s="6">
        <f>参数与费率!$E$4</f>
        <v/>
      </c>
    </row>
    <row r="13">
      <c r="A13" s="4">
        <f>参数与费率!$A$5</f>
        <v/>
      </c>
      <c r="B13" s="4">
        <f>参数与费率!$B$5</f>
        <v/>
      </c>
      <c r="C13" s="6">
        <f>参数与费率!$C$5</f>
        <v/>
      </c>
      <c r="D13" s="6">
        <f>参数与费率!$D$5</f>
        <v/>
      </c>
      <c r="E13" s="7">
        <f>参数与费率!$F$5</f>
        <v/>
      </c>
      <c r="F13" s="6">
        <f>C13*E13</f>
        <v/>
      </c>
      <c r="G13" s="6">
        <f>F13-D13</f>
        <v/>
      </c>
      <c r="H13" s="8">
        <f>F13/$C$7</f>
        <v/>
      </c>
      <c r="I13" s="6">
        <f>参数与费率!$E$5</f>
        <v/>
      </c>
    </row>
    <row r="14">
      <c r="A14" s="4">
        <f>参数与费率!$A$6</f>
        <v/>
      </c>
      <c r="B14" s="4">
        <f>参数与费率!$B$6</f>
        <v/>
      </c>
      <c r="C14" s="6">
        <f>参数与费率!$C$6</f>
        <v/>
      </c>
      <c r="D14" s="6">
        <f>参数与费率!$D$6</f>
        <v/>
      </c>
      <c r="E14" s="7">
        <f>参数与费率!$F$6</f>
        <v/>
      </c>
      <c r="F14" s="6">
        <f>C14*E14</f>
        <v/>
      </c>
      <c r="G14" s="6">
        <f>F14-D14</f>
        <v/>
      </c>
      <c r="H14" s="8">
        <f>F14/$C$7</f>
        <v/>
      </c>
      <c r="I14" s="6">
        <f>参数与费率!$E$6</f>
        <v/>
      </c>
    </row>
    <row r="15">
      <c r="A15" s="4">
        <f>参数与费率!$A$7</f>
        <v/>
      </c>
      <c r="B15" s="4">
        <f>参数与费率!$B$7</f>
        <v/>
      </c>
      <c r="C15" s="6">
        <f>参数与费率!$C$7</f>
        <v/>
      </c>
      <c r="D15" s="6">
        <f>参数与费率!$D$7</f>
        <v/>
      </c>
      <c r="E15" s="7">
        <f>参数与费率!$F$7</f>
        <v/>
      </c>
      <c r="F15" s="6">
        <f>C15*E15</f>
        <v/>
      </c>
      <c r="G15" s="6">
        <f>F15-D15</f>
        <v/>
      </c>
      <c r="H15" s="8">
        <f>F15/$C$7</f>
        <v/>
      </c>
      <c r="I15" s="6">
        <f>参数与费率!$E$7</f>
        <v/>
      </c>
    </row>
    <row r="16">
      <c r="A16" s="4">
        <f>参数与费率!$A$8</f>
        <v/>
      </c>
      <c r="B16" s="4">
        <f>参数与费率!$B$8</f>
        <v/>
      </c>
      <c r="C16" s="6">
        <f>参数与费率!$C$8</f>
        <v/>
      </c>
      <c r="D16" s="6">
        <f>参数与费率!$D$8</f>
        <v/>
      </c>
      <c r="E16" s="7">
        <f>参数与费率!$F$8</f>
        <v/>
      </c>
      <c r="F16" s="6">
        <f>C16*E16</f>
        <v/>
      </c>
      <c r="G16" s="6">
        <f>F16-D16</f>
        <v/>
      </c>
      <c r="H16" s="8">
        <f>F16/$C$7</f>
        <v/>
      </c>
      <c r="I16" s="6">
        <f>参数与费率!$E$8</f>
        <v/>
      </c>
    </row>
    <row r="17">
      <c r="A17" s="9" t="inlineStr">
        <is>
          <t>证券合计</t>
        </is>
      </c>
      <c r="B17" s="4" t="n"/>
      <c r="C17" s="6">
        <f>SUM(C12:C16)</f>
        <v/>
      </c>
      <c r="D17" s="6">
        <f>SUM(D12:D16)</f>
        <v/>
      </c>
      <c r="E17" s="7" t="n"/>
      <c r="F17" s="6">
        <f>SUM(F12:F16)</f>
        <v/>
      </c>
      <c r="G17" s="6">
        <f>SUM(G12:G16)</f>
        <v/>
      </c>
      <c r="H17" s="8">
        <f>SUM(H12:H16)</f>
        <v/>
      </c>
      <c r="I17" s="6">
        <f>SUM(I12:I16)</f>
        <v/>
      </c>
    </row>
    <row r="18">
      <c r="A18" s="4" t="inlineStr">
        <is>
          <t>现金(账上)</t>
        </is>
      </c>
      <c r="B18" s="4" t="n"/>
      <c r="C18" s="6" t="inlineStr">
        <is>
          <t>—</t>
        </is>
      </c>
      <c r="D18" s="6" t="n"/>
      <c r="E18" s="7" t="n"/>
      <c r="F18" s="6">
        <f>C6</f>
        <v/>
      </c>
      <c r="G18" s="6">
        <f>F18-F18</f>
        <v/>
      </c>
      <c r="H18" s="8">
        <f>F18/C7</f>
        <v/>
      </c>
      <c r="I18" s="6" t="n"/>
    </row>
    <row r="19">
      <c r="A19" s="9" t="inlineStr">
        <is>
          <t>净资产合计</t>
        </is>
      </c>
      <c r="B19" s="4" t="n"/>
      <c r="C19" s="6" t="n"/>
      <c r="D19" s="6" t="n"/>
      <c r="E19" s="7" t="n"/>
      <c r="F19" s="6">
        <f>F17+F18</f>
        <v/>
      </c>
      <c r="G19" s="6" t="n"/>
      <c r="H19" s="10">
        <f>H17+H18</f>
        <v/>
      </c>
      <c r="I19" s="6" t="n"/>
    </row>
    <row r="20">
      <c r="A20" s="2" t="inlineStr">
        <is>
          <t>三、未调整状态下四项硬约束初判（分母=14:30净资产C7）</t>
        </is>
      </c>
    </row>
    <row r="21">
      <c r="A21" s="3" t="inlineStr">
        <is>
          <t>约束</t>
        </is>
      </c>
      <c r="B21" s="3" t="inlineStr">
        <is>
          <t>阈值</t>
        </is>
      </c>
      <c r="C21" s="3" t="inlineStr">
        <is>
          <t>当前值</t>
        </is>
      </c>
      <c r="D21" s="3" t="inlineStr">
        <is>
          <t>判定</t>
        </is>
      </c>
      <c r="H21" s="11">
        <f>H19</f>
        <v/>
      </c>
    </row>
    <row r="22">
      <c r="A22" s="4" t="inlineStr">
        <is>
          <t>单只股票≤25%</t>
        </is>
      </c>
      <c r="B22" s="8">
        <f>参数与费率!$B$18</f>
        <v/>
      </c>
      <c r="C22" s="8">
        <f>MAX(F12/C7,F13/C7+F14/C7,F15/C7)</f>
        <v/>
      </c>
      <c r="D22" s="4">
        <f>IF(C22&lt;=B22,"达标","超限")</f>
        <v/>
      </c>
    </row>
    <row r="23">
      <c r="A23" s="4" t="inlineStr">
        <is>
          <t>新能源(光伏+电池)≤45%</t>
        </is>
      </c>
      <c r="B23" s="8">
        <f>参数与费率!$B$19</f>
        <v/>
      </c>
      <c r="C23" s="8">
        <f>(F12+F13+F14)/C7</f>
        <v/>
      </c>
      <c r="D23" s="4">
        <f>IF(C23&lt;=B23,"达标","超限")</f>
        <v/>
      </c>
    </row>
    <row r="24">
      <c r="A24" s="4" t="inlineStr">
        <is>
          <t>现金≥300,000</t>
        </is>
      </c>
      <c r="B24" s="8">
        <f>参数与费率!$B$20</f>
        <v/>
      </c>
      <c r="C24" s="6">
        <f>参数与费率!$B$10</f>
        <v/>
      </c>
      <c r="D24" s="4">
        <f>IF(C24&gt;=B24,"达标","超限")</f>
        <v/>
      </c>
    </row>
    <row r="25">
      <c r="A25" s="4" t="inlineStr">
        <is>
          <t>联动情景损失≤12%</t>
        </is>
      </c>
      <c r="B25" s="8">
        <f>参数与费率!$B$21</f>
        <v/>
      </c>
      <c r="C25" s="8">
        <f>(F12*参数与费率!$B$23+(F13+F14)*参数与费率!$C$23+F15*参数与费率!$D$23+F16*参数与费率!$E$23)/C7</f>
        <v/>
      </c>
      <c r="D25" s="4">
        <f>IF(C25&lt;=B25,"达标","超限")</f>
        <v/>
      </c>
    </row>
    <row r="27" ht="30" customHeight="1">
      <c r="A27" s="12" t="inlineStr">
        <is>
          <t>勾稽结论：13:00总资产2,030,000与按13:00价重算一致；14:30因光伏、电池各下跌1元/股，净资产回落至1,990,000，差40,000全部为市价波动，现金未动、今日买入122,000不重复扣。</t>
        </is>
      </c>
    </row>
  </sheetData>
  <mergeCells count="2">
    <mergeCell ref="A27:I27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参数与费率（黄色单元格为输入；其余表全部引用本表，改黄色格即全簿重算）</t>
        </is>
      </c>
    </row>
    <row r="3">
      <c r="A3" s="3" t="inlineStr">
        <is>
          <t>代号</t>
        </is>
      </c>
      <c r="B3" s="3" t="inlineStr">
        <is>
          <t>名称</t>
        </is>
      </c>
      <c r="C3" s="3" t="inlineStr">
        <is>
          <t>数量</t>
        </is>
      </c>
      <c r="D3" s="3" t="inlineStr">
        <is>
          <t>批次成本(元)</t>
        </is>
      </c>
      <c r="E3" s="3" t="inlineStr">
        <is>
          <t>今日可卖</t>
        </is>
      </c>
      <c r="F3" s="3" t="inlineStr">
        <is>
          <t>14:30买一价</t>
        </is>
      </c>
      <c r="G3" s="3" t="inlineStr">
        <is>
          <t>13:00参考价</t>
        </is>
      </c>
    </row>
    <row r="4">
      <c r="A4" s="4" t="inlineStr">
        <is>
          <t>EQ01</t>
        </is>
      </c>
      <c r="B4" s="4" t="inlineStr">
        <is>
          <t>光伏设备</t>
        </is>
      </c>
      <c r="C4" s="13" t="n">
        <v>20000</v>
      </c>
      <c r="D4" s="13" t="n">
        <v>600000</v>
      </c>
      <c r="E4" s="13" t="n">
        <v>20000</v>
      </c>
      <c r="F4" s="13" t="n">
        <v>25</v>
      </c>
      <c r="G4" s="13" t="n">
        <v>26</v>
      </c>
    </row>
    <row r="5">
      <c r="A5" s="4" t="inlineStr">
        <is>
          <t>EQ02</t>
        </is>
      </c>
      <c r="B5" s="4" t="inlineStr">
        <is>
          <t>电池制造(旧批)</t>
        </is>
      </c>
      <c r="C5" s="13" t="n">
        <v>16000</v>
      </c>
      <c r="D5" s="13" t="n">
        <v>560000</v>
      </c>
      <c r="E5" s="13" t="n">
        <v>16000</v>
      </c>
      <c r="F5" s="13" t="n">
        <v>30</v>
      </c>
      <c r="G5" s="13" t="n">
        <v>31</v>
      </c>
    </row>
    <row r="6">
      <c r="A6" s="4" t="inlineStr">
        <is>
          <t>EQ02</t>
        </is>
      </c>
      <c r="B6" s="4" t="inlineStr">
        <is>
          <t>电池制造(今日10:12买入,当日不可卖)</t>
        </is>
      </c>
      <c r="C6" s="13" t="n">
        <v>4000</v>
      </c>
      <c r="D6" s="13" t="n">
        <v>122000</v>
      </c>
      <c r="E6" s="13" t="n">
        <v>0</v>
      </c>
      <c r="F6" s="13" t="n">
        <v>30</v>
      </c>
      <c r="G6" s="13" t="n">
        <v>31</v>
      </c>
    </row>
    <row r="7">
      <c r="A7" s="4" t="inlineStr">
        <is>
          <t>EQ03</t>
        </is>
      </c>
      <c r="B7" s="4" t="inlineStr">
        <is>
          <t>公用事业</t>
        </is>
      </c>
      <c r="C7" s="13" t="n">
        <v>30000</v>
      </c>
      <c r="D7" s="13" t="n">
        <v>240000</v>
      </c>
      <c r="E7" s="13" t="n">
        <v>30000</v>
      </c>
      <c r="F7" s="13" t="n">
        <v>10</v>
      </c>
      <c r="G7" s="13" t="n">
        <v>10</v>
      </c>
    </row>
    <row r="8">
      <c r="A8" s="4" t="inlineStr">
        <is>
          <t>ETF01</t>
        </is>
      </c>
      <c r="B8" s="4" t="inlineStr">
        <is>
          <t>A股宽基ETF</t>
        </is>
      </c>
      <c r="C8" s="13" t="n">
        <v>120000</v>
      </c>
      <c r="D8" s="13" t="n">
        <v>336000</v>
      </c>
      <c r="E8" s="13" t="n">
        <v>120000</v>
      </c>
      <c r="F8" s="13" t="n">
        <v>3</v>
      </c>
      <c r="G8" s="13" t="n">
        <v>3</v>
      </c>
    </row>
    <row r="10">
      <c r="A10" t="inlineStr">
        <is>
          <t>起始现金(14:30，已扣今日买入电池122,000)</t>
        </is>
      </c>
      <c r="B10" s="14" t="n">
        <v>230000</v>
      </c>
    </row>
    <row r="11">
      <c r="A11" t="inlineStr">
        <is>
          <t>13:00汇总页总资产</t>
        </is>
      </c>
      <c r="B11" s="14" t="n">
        <v>2030000</v>
      </c>
    </row>
    <row r="12">
      <c r="A12" t="inlineStr">
        <is>
          <t>批次总成本(全部)</t>
        </is>
      </c>
      <c r="B12">
        <f>SUM(D4:D8)</f>
        <v/>
      </c>
    </row>
    <row r="14">
      <c r="A14" s="2" t="inlineStr">
        <is>
          <t>费率、约束与冲击（输入）</t>
        </is>
      </c>
    </row>
    <row r="15">
      <c r="A15" s="4" t="inlineStr">
        <is>
          <t>股票卖出费率</t>
        </is>
      </c>
      <c r="B15" s="15" t="n">
        <v>0.0008</v>
      </c>
    </row>
    <row r="16">
      <c r="A16" s="4" t="inlineStr">
        <is>
          <t>ETF卖出费率</t>
        </is>
      </c>
      <c r="B16" s="15" t="n">
        <v>0.0003</v>
      </c>
    </row>
    <row r="17">
      <c r="A17" s="4" t="inlineStr">
        <is>
          <t>每笔最低费用(元)</t>
        </is>
      </c>
      <c r="B17" s="13" t="n">
        <v>5</v>
      </c>
    </row>
    <row r="18">
      <c r="A18" s="4" t="inlineStr">
        <is>
          <t>单只股票权重上限</t>
        </is>
      </c>
      <c r="B18" s="15" t="n">
        <v>0.25</v>
      </c>
    </row>
    <row r="19">
      <c r="A19" s="4" t="inlineStr">
        <is>
          <t>新能源(光伏+电池)合计上限</t>
        </is>
      </c>
      <c r="B19" s="15" t="n">
        <v>0.45</v>
      </c>
    </row>
    <row r="20">
      <c r="A20" s="4" t="inlineStr">
        <is>
          <t>现金下限(元)</t>
        </is>
      </c>
      <c r="B20" s="13" t="n">
        <v>300000</v>
      </c>
    </row>
    <row r="21">
      <c r="A21" s="4" t="inlineStr">
        <is>
          <t>联动损失率上限</t>
        </is>
      </c>
      <c r="B21" s="15" t="n">
        <v>0.12</v>
      </c>
    </row>
    <row r="23">
      <c r="A23" s="2" t="inlineStr">
        <is>
          <t>联动冲击跌幅（光伏/电池/公用事业/宽基ETF）</t>
        </is>
      </c>
      <c r="B23" s="16" t="n">
        <v>0.25</v>
      </c>
      <c r="C23" s="16" t="n">
        <v>0.25</v>
      </c>
      <c r="D23" s="16" t="n">
        <v>0.08</v>
      </c>
      <c r="E23" s="16" t="n">
        <v>0.12</v>
      </c>
    </row>
    <row r="24">
      <c r="A24" t="inlineStr">
        <is>
          <t>次日新能源额外下跌</t>
        </is>
      </c>
      <c r="B24" s="16" t="n">
        <v>0.05</v>
      </c>
    </row>
    <row r="26">
      <c r="A26" s="17" t="inlineStr">
        <is>
          <t>说明：今日可卖=0的电池批(第6行)不得计入今日卖出；股票/ETF按100股(份)整数倍；9/9开盘前再核可卖数与报价。</t>
        </is>
      </c>
    </row>
  </sheetData>
  <mergeCells count="2">
    <mergeCell ref="A26:G2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6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调整与情景测算：只卖盈利 vs 按风险减仓（14:30价测算；黄色=拟卖数量输入）</t>
        </is>
      </c>
    </row>
    <row r="3">
      <c r="A3" s="3" t="inlineStr">
        <is>
          <t>项目</t>
        </is>
      </c>
      <c r="B3" s="3" t="inlineStr">
        <is>
          <t>未调整(14:30)</t>
        </is>
      </c>
      <c r="C3" s="3" t="inlineStr">
        <is>
          <t>A 只卖盈利品种</t>
        </is>
      </c>
      <c r="D3" s="3" t="inlineStr">
        <is>
          <t>B 按风险减仓(建议)</t>
        </is>
      </c>
      <c r="E3" s="3" t="inlineStr">
        <is>
          <t>C 坚持全留电池</t>
        </is>
      </c>
    </row>
    <row r="4">
      <c r="A4" s="4" t="inlineStr">
        <is>
          <t>拟卖 EQ01 光伏(股)</t>
        </is>
      </c>
      <c r="B4" s="13" t="n">
        <v>0</v>
      </c>
      <c r="C4" s="13" t="n">
        <v>0</v>
      </c>
      <c r="D4" s="13" t="n">
        <v>12500</v>
      </c>
      <c r="E4" s="13" t="n">
        <v>20000</v>
      </c>
    </row>
    <row r="5">
      <c r="A5" s="4" t="inlineStr">
        <is>
          <t>拟卖 EQ02 电池旧批(股)</t>
        </is>
      </c>
      <c r="B5" s="13" t="n">
        <v>0</v>
      </c>
      <c r="C5" s="13" t="n">
        <v>0</v>
      </c>
      <c r="D5" s="13" t="n">
        <v>3500</v>
      </c>
      <c r="E5" s="13" t="n">
        <v>0</v>
      </c>
    </row>
    <row r="6">
      <c r="A6" s="4" t="inlineStr">
        <is>
          <t>拟卖 EQ03 公用事业(股)</t>
        </is>
      </c>
      <c r="B6" s="13" t="n">
        <v>0</v>
      </c>
      <c r="C6" s="13" t="n">
        <v>7100</v>
      </c>
      <c r="D6" s="13" t="n">
        <v>0</v>
      </c>
      <c r="E6" s="13" t="n">
        <v>0</v>
      </c>
    </row>
    <row r="7">
      <c r="A7" s="4" t="inlineStr">
        <is>
          <t>拟卖 ETF01(份)</t>
        </is>
      </c>
      <c r="B7" s="13" t="n">
        <v>0</v>
      </c>
      <c r="C7" s="13" t="n">
        <v>0</v>
      </c>
      <c r="D7" s="13" t="n">
        <v>0</v>
      </c>
      <c r="E7" s="13" t="n">
        <v>0</v>
      </c>
    </row>
    <row r="8">
      <c r="A8" s="4" t="inlineStr">
        <is>
          <t>卖出成交额(毛)</t>
        </is>
      </c>
      <c r="B8" s="5">
        <f>B4*参数与费率!$F$4+B5*参数与费率!$F$5+B6*参数与费率!$F$7+B7*参数与费率!$F$8</f>
        <v/>
      </c>
      <c r="C8" s="5">
        <f>C4*参数与费率!$F$4+C5*参数与费率!$F$5+C6*参数与费率!$F$7+C7*参数与费率!$F$8</f>
        <v/>
      </c>
      <c r="D8" s="5">
        <f>D4*参数与费率!$F$4+D5*参数与费率!$F$5+D6*参数与费率!$F$7+D7*参数与费率!$F$8</f>
        <v/>
      </c>
      <c r="E8" s="5">
        <f>E4*参数与费率!$F$4+E5*参数与费率!$F$5+E6*参数与费率!$F$7+E7*参数与费率!$F$8</f>
        <v/>
      </c>
    </row>
    <row r="9">
      <c r="A9" s="4" t="inlineStr">
        <is>
          <t>卖出费用合计</t>
        </is>
      </c>
      <c r="B9" s="5">
        <f>IF(B4=0,0,MAX(B4*参数与费率!$F$4*参数与费率!$B$15,参数与费率!$B$17))+IF(B5=0,0,MAX(B5*参数与费率!$F$5*参数与费率!$B$15,参数与费率!$B$17))+IF(B6=0,0,MAX(B6*参数与费率!$F$7*参数与费率!$B$15,参数与费率!$B$17))+IF(B7=0,0,MAX(B7*参数与费率!$F$8*参数与费率!$B$16,参数与费率!$B$17))</f>
        <v/>
      </c>
      <c r="C9" s="5">
        <f>IF(C4=0,0,MAX(C4*参数与费率!$F$4*参数与费率!$B$15,参数与费率!$B$17))+IF(C5=0,0,MAX(C5*参数与费率!$F$5*参数与费率!$B$15,参数与费率!$B$17))+IF(C6=0,0,MAX(C6*参数与费率!$F$7*参数与费率!$B$15,参数与费率!$B$17))+IF(C7=0,0,MAX(C7*参数与费率!$F$8*参数与费率!$B$16,参数与费率!$B$17))</f>
        <v/>
      </c>
      <c r="D9" s="5">
        <f>IF(D4=0,0,MAX(D4*参数与费率!$F$4*参数与费率!$B$15,参数与费率!$B$17))+IF(D5=0,0,MAX(D5*参数与费率!$F$5*参数与费率!$B$15,参数与费率!$B$17))+IF(D6=0,0,MAX(D6*参数与费率!$F$7*参数与费率!$B$15,参数与费率!$B$17))+IF(D7=0,0,MAX(D7*参数与费率!$F$8*参数与费率!$B$16,参数与费率!$B$17))</f>
        <v/>
      </c>
      <c r="E9" s="5">
        <f>IF(E4=0,0,MAX(E4*参数与费率!$F$4*参数与费率!$B$15,参数与费率!$B$17))+IF(E5=0,0,MAX(E5*参数与费率!$F$5*参数与费率!$B$15,参数与费率!$B$17))+IF(E6=0,0,MAX(E6*参数与费率!$F$7*参数与费率!$B$15,参数与费率!$B$17))+IF(E7=0,0,MAX(E7*参数与费率!$F$8*参数与费率!$B$16,参数与费率!$B$17))</f>
        <v/>
      </c>
    </row>
    <row r="10">
      <c r="A10" s="4" t="inlineStr">
        <is>
          <t>净回笼现金</t>
        </is>
      </c>
      <c r="B10" s="5">
        <f>B8-B9</f>
        <v/>
      </c>
      <c r="C10" s="5">
        <f>C8-C9</f>
        <v/>
      </c>
      <c r="D10" s="5">
        <f>D8-D9</f>
        <v/>
      </c>
      <c r="E10" s="5">
        <f>E8-E9</f>
        <v/>
      </c>
    </row>
    <row r="11">
      <c r="A11" s="4" t="inlineStr">
        <is>
          <t>成交后现金</t>
        </is>
      </c>
      <c r="B11" s="5">
        <f>参数与费率!$B$10+B10</f>
        <v/>
      </c>
      <c r="C11" s="5">
        <f>参数与费率!$B$10+C10</f>
        <v/>
      </c>
      <c r="D11" s="5">
        <f>参数与费率!$B$10+D10</f>
        <v/>
      </c>
      <c r="E11" s="5">
        <f>参数与费率!$B$10+E10</f>
        <v/>
      </c>
    </row>
    <row r="12">
      <c r="A12" s="4" t="inlineStr">
        <is>
          <t>成交后净资产D(分母)</t>
        </is>
      </c>
      <c r="B12" s="5">
        <f>'账户核对'!$C$7-B9</f>
        <v/>
      </c>
      <c r="C12" s="5">
        <f>'账户核对'!$C$7-C9</f>
        <v/>
      </c>
      <c r="D12" s="5">
        <f>'账户核对'!$C$7-D9</f>
        <v/>
      </c>
      <c r="E12" s="5">
        <f>'账户核对'!$C$7-E9</f>
        <v/>
      </c>
    </row>
    <row r="13">
      <c r="A13" s="4" t="inlineStr">
        <is>
          <t>EQ01 剩余市值</t>
        </is>
      </c>
      <c r="B13" s="5">
        <f>(参数与费率!$C$4-B4)*参数与费率!$F$4</f>
        <v/>
      </c>
      <c r="C13" s="5">
        <f>(参数与费率!$C$4-C4)*参数与费率!$F$4</f>
        <v/>
      </c>
      <c r="D13" s="5">
        <f>(参数与费率!$C$4-D4)*参数与费率!$F$4</f>
        <v/>
      </c>
      <c r="E13" s="5">
        <f>(参数与费率!$C$4-E4)*参数与费率!$F$4</f>
        <v/>
      </c>
    </row>
    <row r="14">
      <c r="A14" s="4" t="inlineStr">
        <is>
          <t>EQ02 剩余市值</t>
        </is>
      </c>
      <c r="B14" s="5">
        <f>((参数与费率!$C$5-B5)+参数与费率!$C$6)*参数与费率!$F$5</f>
        <v/>
      </c>
      <c r="C14" s="5">
        <f>((参数与费率!$C$5-C5)+参数与费率!$C$6)*参数与费率!$F$5</f>
        <v/>
      </c>
      <c r="D14" s="5">
        <f>((参数与费率!$C$5-D5)+参数与费率!$C$6)*参数与费率!$F$5</f>
        <v/>
      </c>
      <c r="E14" s="5">
        <f>((参数与费率!$C$5-E5)+参数与费率!$C$6)*参数与费率!$F$5</f>
        <v/>
      </c>
    </row>
    <row r="15">
      <c r="A15" s="4" t="inlineStr">
        <is>
          <t>EQ03 剩余市值</t>
        </is>
      </c>
      <c r="B15" s="5">
        <f>(参数与费率!$C$7-B6)*参数与费率!$F$7</f>
        <v/>
      </c>
      <c r="C15" s="5">
        <f>(参数与费率!$C$7-C6)*参数与费率!$F$7</f>
        <v/>
      </c>
      <c r="D15" s="5">
        <f>(参数与费率!$C$7-D6)*参数与费率!$F$7</f>
        <v/>
      </c>
      <c r="E15" s="5">
        <f>(参数与费率!$C$7-E6)*参数与费率!$F$7</f>
        <v/>
      </c>
    </row>
    <row r="16">
      <c r="A16" s="4" t="inlineStr">
        <is>
          <t>ETF 剩余市值</t>
        </is>
      </c>
      <c r="B16" s="5">
        <f>(参数与费率!$C$8-B7)*参数与费率!$F$8</f>
        <v/>
      </c>
      <c r="C16" s="5">
        <f>(参数与费率!$C$8-C7)*参数与费率!$F$8</f>
        <v/>
      </c>
      <c r="D16" s="5">
        <f>(参数与费率!$C$8-D7)*参数与费率!$F$8</f>
        <v/>
      </c>
      <c r="E16" s="5">
        <f>(参数与费率!$C$8-E7)*参数与费率!$F$8</f>
        <v/>
      </c>
    </row>
    <row r="17">
      <c r="A17" s="4" t="inlineStr">
        <is>
          <t>持仓市值合计</t>
        </is>
      </c>
      <c r="B17" s="5">
        <f>SUM(B13:B16)</f>
        <v/>
      </c>
      <c r="C17" s="5">
        <f>SUM(C13:C16)</f>
        <v/>
      </c>
      <c r="D17" s="5">
        <f>SUM(D13:D16)</f>
        <v/>
      </c>
      <c r="E17" s="5">
        <f>SUM(E13:E16)</f>
        <v/>
      </c>
    </row>
    <row r="18">
      <c r="A18" s="4" t="inlineStr">
        <is>
          <t>EQ01 权重</t>
        </is>
      </c>
      <c r="B18" s="8">
        <f>B13/B12</f>
        <v/>
      </c>
      <c r="C18" s="8">
        <f>C13/C12</f>
        <v/>
      </c>
      <c r="D18" s="8">
        <f>D13/D12</f>
        <v/>
      </c>
      <c r="E18" s="8">
        <f>E13/E12</f>
        <v/>
      </c>
    </row>
    <row r="19">
      <c r="A19" s="4" t="inlineStr">
        <is>
          <t>EQ02 权重</t>
        </is>
      </c>
      <c r="B19" s="8">
        <f>B14/B12</f>
        <v/>
      </c>
      <c r="C19" s="8">
        <f>C14/C12</f>
        <v/>
      </c>
      <c r="D19" s="8">
        <f>D14/D12</f>
        <v/>
      </c>
      <c r="E19" s="8">
        <f>E14/E12</f>
        <v/>
      </c>
    </row>
    <row r="20">
      <c r="A20" s="4" t="inlineStr">
        <is>
          <t>EQ03 权重</t>
        </is>
      </c>
      <c r="B20" s="8">
        <f>B15/B12</f>
        <v/>
      </c>
      <c r="C20" s="8">
        <f>C15/C12</f>
        <v/>
      </c>
      <c r="D20" s="8">
        <f>D15/D12</f>
        <v/>
      </c>
      <c r="E20" s="8">
        <f>E15/E12</f>
        <v/>
      </c>
    </row>
    <row r="21">
      <c r="A21" s="4" t="inlineStr">
        <is>
          <t>ETF 权重</t>
        </is>
      </c>
      <c r="B21" s="8">
        <f>B16/B12</f>
        <v/>
      </c>
      <c r="C21" s="8">
        <f>C16/C12</f>
        <v/>
      </c>
      <c r="D21" s="8">
        <f>D16/D12</f>
        <v/>
      </c>
      <c r="E21" s="8">
        <f>E16/E12</f>
        <v/>
      </c>
    </row>
    <row r="22">
      <c r="A22" s="4" t="inlineStr">
        <is>
          <t>现金权重</t>
        </is>
      </c>
      <c r="B22" s="8">
        <f>B11/B12</f>
        <v/>
      </c>
      <c r="C22" s="8">
        <f>C11/C12</f>
        <v/>
      </c>
      <c r="D22" s="8">
        <f>D11/D12</f>
        <v/>
      </c>
      <c r="E22" s="8">
        <f>E11/E12</f>
        <v/>
      </c>
    </row>
    <row r="23">
      <c r="A23" s="4" t="inlineStr">
        <is>
          <t>新能源(光伏+电池)权重</t>
        </is>
      </c>
      <c r="B23" s="8">
        <f>(B13+B14)/B12</f>
        <v/>
      </c>
      <c r="C23" s="8">
        <f>(C13+C14)/C12</f>
        <v/>
      </c>
      <c r="D23" s="8">
        <f>(D13+D14)/D12</f>
        <v/>
      </c>
      <c r="E23" s="8">
        <f>(E13+E14)/E12</f>
        <v/>
      </c>
    </row>
    <row r="24">
      <c r="A24" s="4" t="inlineStr">
        <is>
          <t>联动情景损失额</t>
        </is>
      </c>
      <c r="B24" s="5">
        <f>B13*参数与费率!$B$23+B14*参数与费率!$C$23+B15*参数与费率!$D$23+B16*参数与费率!$E$23</f>
        <v/>
      </c>
      <c r="C24" s="5">
        <f>C13*参数与费率!$B$23+C14*参数与费率!$C$23+C15*参数与费率!$D$23+C16*参数与费率!$E$23</f>
        <v/>
      </c>
      <c r="D24" s="5">
        <f>D13*参数与费率!$B$23+D14*参数与费率!$C$23+D15*参数与费率!$D$23+D16*参数与费率!$E$23</f>
        <v/>
      </c>
      <c r="E24" s="5">
        <f>E13*参数与费率!$B$23+E14*参数与费率!$C$23+E15*参数与费率!$D$23+E16*参数与费率!$E$23</f>
        <v/>
      </c>
    </row>
    <row r="25">
      <c r="A25" s="4" t="inlineStr">
        <is>
          <t>联动损失率</t>
        </is>
      </c>
      <c r="B25" s="8">
        <f>B24/B12</f>
        <v/>
      </c>
      <c r="C25" s="8">
        <f>C24/C12</f>
        <v/>
      </c>
      <c r="D25" s="8">
        <f>D24/D12</f>
        <v/>
      </c>
      <c r="E25" s="8">
        <f>E24/E12</f>
        <v/>
      </c>
    </row>
    <row r="26">
      <c r="A26" s="4" t="inlineStr">
        <is>
          <t>单股 EQ01≤25%</t>
        </is>
      </c>
      <c r="B26" s="4">
        <f>IF(B18&lt;=参数与费率!$B$18,"达标","超限")</f>
        <v/>
      </c>
      <c r="C26" s="4">
        <f>IF(C18&lt;=参数与费率!$B$18,"达标","超限")</f>
        <v/>
      </c>
      <c r="D26" s="4">
        <f>IF(D18&lt;=参数与费率!$B$18,"达标","超限")</f>
        <v/>
      </c>
      <c r="E26" s="4">
        <f>IF(E18&lt;=参数与费率!$B$18,"达标","超限")</f>
        <v/>
      </c>
    </row>
    <row r="27">
      <c r="A27" s="4" t="inlineStr">
        <is>
          <t>单股 EQ02≤25%</t>
        </is>
      </c>
      <c r="B27" s="4">
        <f>IF(B19&lt;=参数与费率!$B$18,"达标","超限")</f>
        <v/>
      </c>
      <c r="C27" s="4">
        <f>IF(C19&lt;=参数与费率!$B$18,"达标","超限")</f>
        <v/>
      </c>
      <c r="D27" s="4">
        <f>IF(D19&lt;=参数与费率!$B$18,"达标","超限")</f>
        <v/>
      </c>
      <c r="E27" s="4">
        <f>IF(E19&lt;=参数与费率!$B$18,"达标","超限")</f>
        <v/>
      </c>
    </row>
    <row r="28">
      <c r="A28" s="4" t="inlineStr">
        <is>
          <t>新能源≤45%</t>
        </is>
      </c>
      <c r="B28" s="4">
        <f>IF(B23&lt;=参数与费率!$B$19,"达标","超限")</f>
        <v/>
      </c>
      <c r="C28" s="4">
        <f>IF(C23&lt;=参数与费率!$B$19,"达标","超限")</f>
        <v/>
      </c>
      <c r="D28" s="4">
        <f>IF(D23&lt;=参数与费率!$B$19,"达标","超限")</f>
        <v/>
      </c>
      <c r="E28" s="4">
        <f>IF(E23&lt;=参数与费率!$B$19,"达标","超限")</f>
        <v/>
      </c>
    </row>
    <row r="29">
      <c r="A29" s="4" t="inlineStr">
        <is>
          <t>现金≥30万</t>
        </is>
      </c>
      <c r="B29" s="4">
        <f>IF(B11&gt;=参数与费率!$B$20,"达标","超限")</f>
        <v/>
      </c>
      <c r="C29" s="4">
        <f>IF(C11&gt;=参数与费率!$B$20,"达标","超限")</f>
        <v/>
      </c>
      <c r="D29" s="4">
        <f>IF(D11&gt;=参数与费率!$B$20,"达标","超限")</f>
        <v/>
      </c>
      <c r="E29" s="4">
        <f>IF(E11&gt;=参数与费率!$B$20,"达标","超限")</f>
        <v/>
      </c>
    </row>
    <row r="30">
      <c r="A30" s="4" t="inlineStr">
        <is>
          <t>联动损失≤12%</t>
        </is>
      </c>
      <c r="B30" s="4">
        <f>IF(B25&lt;=参数与费率!$B$21,"达标","超限")</f>
        <v/>
      </c>
      <c r="C30" s="4">
        <f>IF(C25&lt;=参数与费率!$B$21,"达标","超限")</f>
        <v/>
      </c>
      <c r="D30" s="4">
        <f>IF(D25&lt;=参数与费率!$B$21,"达标","超限")</f>
        <v/>
      </c>
      <c r="E30" s="4">
        <f>IF(E25&lt;=参数与费率!$B$21,"达标","超限")</f>
        <v/>
      </c>
    </row>
    <row r="31">
      <c r="A31" s="4" t="inlineStr">
        <is>
          <t>四项同时达标?</t>
        </is>
      </c>
      <c r="B31" s="4">
        <f>IF(AND(B26="达标",B27="达标",B28="达标",B29="达标",B30="达标"),"四项同时达标","未达标")</f>
        <v/>
      </c>
      <c r="C31" s="4">
        <f>IF(AND(C26="达标",C27="达标",C28="达标",C29="达标",C30="达标"),"四项同时达标","未达标")</f>
        <v/>
      </c>
      <c r="D31" s="4">
        <f>IF(AND(D26="达标",D27="达标",D28="达标",D29="达标",D30="达标"),"四项同时达标","未达标")</f>
        <v/>
      </c>
      <c r="E31" s="4">
        <f>IF(AND(E26="达标",E27="达标",E28="达标",E29="达标",E30="达标"),"四项同时达标","未达标")</f>
        <v/>
      </c>
    </row>
    <row r="33">
      <c r="A33" s="2" t="inlineStr">
        <is>
          <t>二、B方案（建议）逐笔成交与实现盈亏（扣费后口径）</t>
        </is>
      </c>
    </row>
    <row r="34">
      <c r="A34" s="3" t="inlineStr">
        <is>
          <t>标的</t>
        </is>
      </c>
      <c r="B34" s="3" t="inlineStr">
        <is>
          <t>卖出数量</t>
        </is>
      </c>
      <c r="C34" s="3" t="inlineStr">
        <is>
          <t>14:30价</t>
        </is>
      </c>
      <c r="D34" s="3" t="inlineStr">
        <is>
          <t>成交额</t>
        </is>
      </c>
      <c r="E34" s="3" t="inlineStr">
        <is>
          <t>费率</t>
        </is>
      </c>
      <c r="F34" s="3" t="inlineStr">
        <is>
          <t>费用</t>
        </is>
      </c>
      <c r="G34" s="3" t="inlineStr">
        <is>
          <t>净回笼</t>
        </is>
      </c>
      <c r="H34" s="3" t="inlineStr">
        <is>
          <t>单位成本</t>
        </is>
      </c>
      <c r="I34" s="3" t="inlineStr">
        <is>
          <t>实现盈亏(扣费后)</t>
        </is>
      </c>
    </row>
    <row r="35">
      <c r="A35" s="4" t="inlineStr">
        <is>
          <t>EQ01 光伏</t>
        </is>
      </c>
      <c r="B35" s="4">
        <f>D4</f>
        <v/>
      </c>
      <c r="C35" s="4">
        <f>参数与费率!$F$4</f>
        <v/>
      </c>
      <c r="D35" s="5">
        <f>B35*C35</f>
        <v/>
      </c>
      <c r="E35" s="18">
        <f>参数与费率!$B$15</f>
        <v/>
      </c>
      <c r="F35" s="5">
        <f>IF(B35=0,0,MAX(D35*E35,参数与费率!$B$17))</f>
        <v/>
      </c>
      <c r="G35" s="5">
        <f>D35-F35</f>
        <v/>
      </c>
      <c r="H35" s="7">
        <f>参数与费率!$D$4/参数与费率!$C$4</f>
        <v/>
      </c>
      <c r="I35" s="5">
        <f>B35*(C35-H35)-F35</f>
        <v/>
      </c>
    </row>
    <row r="36">
      <c r="A36" s="4" t="inlineStr">
        <is>
          <t>EQ02 电池旧批</t>
        </is>
      </c>
      <c r="B36" s="4">
        <f>D5</f>
        <v/>
      </c>
      <c r="C36" s="4">
        <f>参数与费率!$F$5</f>
        <v/>
      </c>
      <c r="D36" s="5">
        <f>B36*C36</f>
        <v/>
      </c>
      <c r="E36" s="18">
        <f>参数与费率!$B$15</f>
        <v/>
      </c>
      <c r="F36" s="5">
        <f>IF(B36=0,0,MAX(D36*E36,参数与费率!$B$17))</f>
        <v/>
      </c>
      <c r="G36" s="5">
        <f>D36-F36</f>
        <v/>
      </c>
      <c r="H36" s="7">
        <f>参数与费率!$D$5/参数与费率!$C$5</f>
        <v/>
      </c>
      <c r="I36" s="5">
        <f>B36*(C36-H36)-F36</f>
        <v/>
      </c>
    </row>
    <row r="37">
      <c r="A37" s="4" t="inlineStr">
        <is>
          <t>EQ03 公用事业</t>
        </is>
      </c>
      <c r="B37" s="4">
        <f>D6</f>
        <v/>
      </c>
      <c r="C37" s="4">
        <f>参数与费率!$F$7</f>
        <v/>
      </c>
      <c r="D37" s="5">
        <f>B37*C37</f>
        <v/>
      </c>
      <c r="E37" s="18">
        <f>参数与费率!$B$15</f>
        <v/>
      </c>
      <c r="F37" s="5">
        <f>IF(B37=0,0,MAX(D37*E37,参数与费率!$B$17))</f>
        <v/>
      </c>
      <c r="G37" s="5">
        <f>D37-F37</f>
        <v/>
      </c>
      <c r="H37" s="7">
        <f>参数与费率!$D$7/参数与费率!$C$7</f>
        <v/>
      </c>
      <c r="I37" s="5">
        <f>B37*(C37-H37)-F37</f>
        <v/>
      </c>
    </row>
    <row r="38">
      <c r="A38" s="4" t="inlineStr">
        <is>
          <t>ETF01 宽基</t>
        </is>
      </c>
      <c r="B38" s="4">
        <f>D7</f>
        <v/>
      </c>
      <c r="C38" s="4">
        <f>参数与费率!$F$8</f>
        <v/>
      </c>
      <c r="D38" s="5">
        <f>B38*C38</f>
        <v/>
      </c>
      <c r="E38" s="18">
        <f>参数与费率!$B$16</f>
        <v/>
      </c>
      <c r="F38" s="5">
        <f>IF(B38=0,0,MAX(D38*E38,参数与费率!$B$17))</f>
        <v/>
      </c>
      <c r="G38" s="5">
        <f>D38-F38</f>
        <v/>
      </c>
      <c r="H38" s="7">
        <f>参数与费率!$D$8/参数与费率!$C$8</f>
        <v/>
      </c>
      <c r="I38" s="5">
        <f>B38*(C38-H38)-F38</f>
        <v/>
      </c>
    </row>
    <row r="39">
      <c r="A39" s="9" t="inlineStr">
        <is>
          <t>合计</t>
        </is>
      </c>
      <c r="B39" s="4" t="n"/>
      <c r="C39" s="4" t="n"/>
      <c r="D39" s="5">
        <f>SUM(D35:D38)</f>
        <v/>
      </c>
      <c r="E39" s="4" t="n"/>
      <c r="F39" s="5">
        <f>SUM(F35:F38)</f>
        <v/>
      </c>
      <c r="G39" s="5">
        <f>SUM(G35:G38)</f>
        <v/>
      </c>
      <c r="H39" s="4" t="n"/>
      <c r="I39" s="5">
        <f>SUM(I35:I38)</f>
        <v/>
      </c>
    </row>
    <row r="41">
      <c r="A41" s="2" t="inlineStr">
        <is>
          <t>三、次日(9/9)情景：以B方案成交后持仓为起点，新能源先再跌5%，再加相同联动冲击</t>
        </is>
      </c>
    </row>
    <row r="42">
      <c r="A42" s="3" t="inlineStr">
        <is>
          <t>项目</t>
        </is>
      </c>
      <c r="B42" s="3" t="inlineStr">
        <is>
          <t>数值</t>
        </is>
      </c>
      <c r="C42" s="3" t="inlineStr">
        <is>
          <t>说明</t>
        </is>
      </c>
    </row>
    <row r="43">
      <c r="A43" s="4" t="inlineStr">
        <is>
          <t>B成交后现金</t>
        </is>
      </c>
      <c r="B43" s="5">
        <f>D11</f>
        <v/>
      </c>
      <c r="C43" s="4" t="inlineStr">
        <is>
          <t>今日已扣费用不再扣</t>
        </is>
      </c>
    </row>
    <row r="44">
      <c r="A44" s="4" t="inlineStr">
        <is>
          <t>EQ01 剩余数量(股)</t>
        </is>
      </c>
      <c r="B44" s="5">
        <f>参数与费率!$C$4-D4</f>
        <v/>
      </c>
      <c r="C44" s="4" t="inlineStr"/>
    </row>
    <row r="45">
      <c r="A45" s="4" t="inlineStr">
        <is>
          <t>EQ02 剩余数量(股)</t>
        </is>
      </c>
      <c r="B45" s="5">
        <f>(参数与费率!$C$5-D5)+参数与费率!$C$6</f>
        <v/>
      </c>
      <c r="C45" s="4" t="inlineStr">
        <is>
          <t>旧批+今日买批</t>
        </is>
      </c>
    </row>
    <row r="46">
      <c r="A46" s="4" t="inlineStr">
        <is>
          <t>EQ03 剩余数量(股)</t>
        </is>
      </c>
      <c r="B46" s="5">
        <f>参数与费率!$C$7</f>
        <v/>
      </c>
      <c r="C46" s="4" t="inlineStr"/>
    </row>
    <row r="47">
      <c r="A47" s="4" t="inlineStr">
        <is>
          <t>ETF 剩余数量(份)</t>
        </is>
      </c>
      <c r="B47" s="5">
        <f>参数与费率!$C$8</f>
        <v/>
      </c>
      <c r="C47" s="4" t="inlineStr"/>
    </row>
    <row r="48">
      <c r="A48" s="4" t="inlineStr">
        <is>
          <t>新能源-5%后 EQ01市值</t>
        </is>
      </c>
      <c r="B48" s="5">
        <f>B44*参数与费率!$F$4*(1-参数与费率!$B$24)</f>
        <v/>
      </c>
      <c r="C48" s="4" t="inlineStr">
        <is>
          <t>25×0.95</t>
        </is>
      </c>
    </row>
    <row r="49">
      <c r="A49" s="4" t="inlineStr">
        <is>
          <t>新能源-5%后 EQ02市值</t>
        </is>
      </c>
      <c r="B49" s="5">
        <f>B45*参数与费率!$F$5*(1-参数与费率!$B$24)</f>
        <v/>
      </c>
      <c r="C49" s="4" t="inlineStr">
        <is>
          <t>30×0.95</t>
        </is>
      </c>
    </row>
    <row r="50">
      <c r="A50" s="4" t="inlineStr">
        <is>
          <t>EQ03 市值(不变)</t>
        </is>
      </c>
      <c r="B50" s="5">
        <f>B46*参数与费率!$F$7</f>
        <v/>
      </c>
      <c r="C50" s="4" t="inlineStr"/>
    </row>
    <row r="51">
      <c r="A51" s="4" t="inlineStr">
        <is>
          <t>ETF 市值(不变)</t>
        </is>
      </c>
      <c r="B51" s="5">
        <f>B47*参数与费率!$F$8</f>
        <v/>
      </c>
      <c r="C51" s="4" t="inlineStr"/>
    </row>
    <row r="52">
      <c r="A52" s="4" t="inlineStr">
        <is>
          <t>-5%后持仓市值合计</t>
        </is>
      </c>
      <c r="B52" s="5">
        <f>SUM(B48:B51)</f>
        <v/>
      </c>
      <c r="C52" s="4" t="inlineStr"/>
    </row>
    <row r="53">
      <c r="A53" s="4" t="inlineStr">
        <is>
          <t>新分母 D2(未加联动冲击前)</t>
        </is>
      </c>
      <c r="B53" s="5">
        <f>B43+B52</f>
        <v/>
      </c>
      <c r="C53" s="4" t="inlineStr">
        <is>
          <t>现金+持仓</t>
        </is>
      </c>
    </row>
    <row r="54">
      <c r="A54" s="4" t="inlineStr">
        <is>
          <t>5%下跌造成的市值损失</t>
        </is>
      </c>
      <c r="B54" s="5">
        <f>D12-B53</f>
        <v/>
      </c>
      <c r="C54" s="4" t="inlineStr">
        <is>
          <t>相对B成交后净资产</t>
        </is>
      </c>
    </row>
    <row r="55">
      <c r="A55" s="4" t="inlineStr">
        <is>
          <t>EQ02 权重(-5%后)</t>
        </is>
      </c>
      <c r="B55" s="8">
        <f>B49/B53</f>
        <v/>
      </c>
      <c r="C55" s="4" t="inlineStr">
        <is>
          <t>仍≤25%</t>
        </is>
      </c>
    </row>
    <row r="56">
      <c r="A56" s="4" t="inlineStr">
        <is>
          <t>新能源权重(-5%后)</t>
        </is>
      </c>
      <c r="B56" s="8">
        <f>(B48+B49)/B53</f>
        <v/>
      </c>
      <c r="C56" s="4" t="inlineStr"/>
    </row>
    <row r="57">
      <c r="A57" s="4" t="inlineStr">
        <is>
          <t>现金权重(-5%后)</t>
        </is>
      </c>
      <c r="B57" s="8">
        <f>B43/B53</f>
        <v/>
      </c>
      <c r="C57" s="4" t="inlineStr"/>
    </row>
    <row r="58">
      <c r="A58" s="4" t="inlineStr">
        <is>
          <t>联动冲击损失额(在-5%持仓上)</t>
        </is>
      </c>
      <c r="B58" s="5">
        <f>B48*参数与费率!$B$23+B49*参数与费率!$C$23+B50*参数与费率!$D$23+B51*参数与费率!$E$23</f>
        <v/>
      </c>
      <c r="C58" s="4" t="inlineStr">
        <is>
          <t>不再重复计入5%</t>
        </is>
      </c>
    </row>
    <row r="59">
      <c r="A59" s="4" t="inlineStr">
        <is>
          <t>次日联动损失率</t>
        </is>
      </c>
      <c r="B59" s="8">
        <f>B58/B53</f>
        <v/>
      </c>
      <c r="C59" s="4" t="inlineStr">
        <is>
          <t>与12%比</t>
        </is>
      </c>
    </row>
    <row r="61">
      <c r="A61" s="2" t="inlineStr">
        <is>
          <t>四、硬约束状态表（逐方案判定；超限即指向规则号）</t>
        </is>
      </c>
    </row>
    <row r="62">
      <c r="A62" s="3" t="inlineStr">
        <is>
          <t>约束</t>
        </is>
      </c>
      <c r="B62" s="3" t="inlineStr">
        <is>
          <t>阈值</t>
        </is>
      </c>
      <c r="C62" s="3" t="inlineStr">
        <is>
          <t>未调整</t>
        </is>
      </c>
      <c r="D62" s="3" t="inlineStr">
        <is>
          <t>A只卖盈利</t>
        </is>
      </c>
      <c r="E62" s="3" t="inlineStr">
        <is>
          <t>B建议</t>
        </is>
      </c>
      <c r="F62" s="3" t="inlineStr">
        <is>
          <t>C全留电池</t>
        </is>
      </c>
      <c r="G62" s="3" t="inlineStr">
        <is>
          <t>次日-5%后</t>
        </is>
      </c>
      <c r="H62" s="3" t="inlineStr">
        <is>
          <t>达标动作/规则号</t>
        </is>
      </c>
    </row>
    <row r="63">
      <c r="A63" s="4" t="inlineStr">
        <is>
          <t>单股EQ02≤25%</t>
        </is>
      </c>
      <c r="B63" s="8">
        <f>参数与费率!$B$18</f>
        <v/>
      </c>
      <c r="C63" s="8">
        <f>C27</f>
        <v/>
      </c>
      <c r="D63" s="8">
        <f>D27</f>
        <v/>
      </c>
      <c r="E63" s="8">
        <f>E27</f>
        <v/>
      </c>
      <c r="F63" s="8" t="n"/>
      <c r="G63" s="8">
        <f>B55</f>
        <v/>
      </c>
      <c r="H63" s="4" t="inlineStr">
        <is>
          <t>R1/R3</t>
        </is>
      </c>
    </row>
    <row r="64">
      <c r="A64" s="4" t="inlineStr">
        <is>
          <t>单股EQ01≤25%</t>
        </is>
      </c>
      <c r="B64" s="8">
        <f>参数与费率!$B$18</f>
        <v/>
      </c>
      <c r="C64" s="8">
        <f>C26</f>
        <v/>
      </c>
      <c r="D64" s="8">
        <f>D26</f>
        <v/>
      </c>
      <c r="E64" s="8">
        <f>E26</f>
        <v/>
      </c>
      <c r="F64" s="8" t="n"/>
      <c r="G64" s="8">
        <f>B48/B53</f>
        <v/>
      </c>
      <c r="H64" s="4" t="inlineStr">
        <is>
          <t>R1</t>
        </is>
      </c>
    </row>
    <row r="65">
      <c r="A65" s="4" t="inlineStr">
        <is>
          <t>新能源≤45%</t>
        </is>
      </c>
      <c r="B65" s="8">
        <f>参数与费率!$B$19</f>
        <v/>
      </c>
      <c r="C65" s="8">
        <f>C28</f>
        <v/>
      </c>
      <c r="D65" s="8">
        <f>D28</f>
        <v/>
      </c>
      <c r="E65" s="8">
        <f>E28</f>
        <v/>
      </c>
      <c r="F65" s="8" t="n"/>
      <c r="G65" s="8">
        <f>B56</f>
        <v/>
      </c>
      <c r="H65" s="4" t="inlineStr">
        <is>
          <t>R1</t>
        </is>
      </c>
    </row>
    <row r="66">
      <c r="A66" s="4" t="inlineStr">
        <is>
          <t>现金≥300,000</t>
        </is>
      </c>
      <c r="B66" s="6">
        <f>参数与费率!$B$20</f>
        <v/>
      </c>
      <c r="C66" s="8">
        <f>C29</f>
        <v/>
      </c>
      <c r="D66" s="8">
        <f>D29</f>
        <v/>
      </c>
      <c r="E66" s="8">
        <f>E29</f>
        <v/>
      </c>
      <c r="F66" s="8" t="n"/>
      <c r="G66" s="6">
        <f>B43</f>
        <v/>
      </c>
      <c r="H66" s="4" t="inlineStr">
        <is>
          <t>R1</t>
        </is>
      </c>
    </row>
    <row r="67">
      <c r="A67" s="4" t="inlineStr">
        <is>
          <t>联动损失≤12%</t>
        </is>
      </c>
      <c r="B67" s="8">
        <f>参数与费率!$B$21</f>
        <v/>
      </c>
      <c r="C67" s="8">
        <f>C30</f>
        <v/>
      </c>
      <c r="D67" s="8">
        <f>D30</f>
        <v/>
      </c>
      <c r="E67" s="8">
        <f>E30</f>
        <v/>
      </c>
      <c r="F67" s="8" t="n"/>
      <c r="G67" s="8">
        <f>B59</f>
        <v/>
      </c>
      <c r="H67" s="4" t="inlineStr">
        <is>
          <t>R1/R4</t>
        </is>
      </c>
    </row>
    <row r="69">
      <c r="A69" s="2" t="inlineStr">
        <is>
          <t>五、if→then 交易纪律（今日9/8 与 次日9/9 分开）</t>
        </is>
      </c>
    </row>
    <row r="70">
      <c r="A70" s="3" t="inlineStr">
        <is>
          <t>规则号</t>
        </is>
      </c>
      <c r="B70" s="3" t="inlineStr">
        <is>
          <t>触发条件(阈值+时点)</t>
        </is>
      </c>
      <c r="C70" s="3" t="inlineStr">
        <is>
          <t>方向自检</t>
        </is>
      </c>
      <c r="D70" s="3" t="inlineStr">
        <is>
          <t>动作</t>
        </is>
      </c>
      <c r="E70" s="3" t="inlineStr">
        <is>
          <t>数量及口径(基准持仓)</t>
        </is>
      </c>
      <c r="F70" s="3" t="inlineStr">
        <is>
          <t>费用与净回笼</t>
        </is>
      </c>
      <c r="G70" s="3" t="inlineStr">
        <is>
          <t>执行时点</t>
        </is>
      </c>
      <c r="H70" s="3" t="inlineStr">
        <is>
          <t>未成交/跌停后手</t>
        </is>
      </c>
      <c r="I70" s="3" t="inlineStr">
        <is>
          <t>交易后复核</t>
        </is>
      </c>
    </row>
    <row r="71">
      <c r="A71" s="19" t="inlineStr">
        <is>
          <t>R1</t>
        </is>
      </c>
      <c r="B71" s="19" t="inlineStr">
        <is>
          <t>9/8收盘前，买一价与14:30偏离≤1%、EQ02可卖数≥3500且未跌停</t>
        </is>
      </c>
      <c r="C71" s="19" t="inlineStr">
        <is>
          <t>卖亏损敞口即降权重与联动损失，方向正确</t>
        </is>
      </c>
      <c r="D71" s="19" t="inlineStr">
        <is>
          <t>限价挂卖 EQ01 12500股、EQ02旧批3500股</t>
        </is>
      </c>
      <c r="E71" s="19" t="inlineStr">
        <is>
          <t>累计总卖量：EQ01=12500(基准20000)、EQ02旧批=3500(基准16000)</t>
        </is>
      </c>
      <c r="F71" s="19" t="inlineStr">
        <is>
          <t>费用≈334，净回笼≈417,166</t>
        </is>
      </c>
      <c r="G71" s="19" t="inlineStr">
        <is>
          <t>9/8 14:30后至收盘前</t>
        </is>
      </c>
      <c r="H71" s="19" t="inlineStr">
        <is>
          <t>—</t>
        </is>
      </c>
      <c r="I71" s="19" t="inlineStr">
        <is>
          <t>现金≈647,166；EQ02权重24.88%；联动损失率11.95%</t>
        </is>
      </c>
    </row>
    <row r="72">
      <c r="A72" s="19" t="inlineStr">
        <is>
          <t>R2</t>
        </is>
      </c>
      <c r="B72" s="19" t="inlineStr">
        <is>
          <t>R1中EQ02未全部成交(买盘不足/部分成交)</t>
        </is>
      </c>
      <c r="C72" s="19" t="inlineStr">
        <is>
          <t>EQ02未减到位则单股超限，须补卖</t>
        </is>
      </c>
      <c r="D72" s="19" t="inlineStr">
        <is>
          <t>改挂EQ02旧批限价单至3500股累计</t>
        </is>
      </c>
      <c r="E72" s="19" t="inlineStr">
        <is>
          <t>本阶段追加=尚欠股数(累计至3500)</t>
        </is>
      </c>
      <c r="F72" s="19" t="inlineStr">
        <is>
          <t>按实际成交额×0.08%</t>
        </is>
      </c>
      <c r="G72" s="19" t="inlineStr">
        <is>
          <t>未成交当日顺延下一交易日开盘</t>
        </is>
      </c>
      <c r="H72" s="19" t="inlineStr">
        <is>
          <t>当日无法成交则转R3</t>
        </is>
      </c>
      <c r="I72" s="19" t="inlineStr">
        <is>
          <t>EQ02权重回落至≤25%为止</t>
        </is>
      </c>
    </row>
    <row r="73">
      <c r="A73" s="19" t="inlineStr">
        <is>
          <t>R3</t>
        </is>
      </c>
      <c r="B73" s="19" t="inlineStr">
        <is>
          <t>EQ02跌停(无买盘)或停牌</t>
        </is>
      </c>
      <c r="C73" s="19" t="inlineStr">
        <is>
          <t>跌停时不能靠卖EQ02降权重，禁止用卖EQ01替代</t>
        </is>
      </c>
      <c r="D73" s="19" t="inlineStr">
        <is>
          <t>先卖EQ01至12500股(现金与新能源达标)，EQ02减仓顺延</t>
        </is>
      </c>
      <c r="E73" s="19" t="inlineStr">
        <is>
          <t>EQ01累计12500；EQ02减3500股挂起</t>
        </is>
      </c>
      <c r="F73" s="19" t="inlineStr">
        <is>
          <t>EQ01费用≈250</t>
        </is>
      </c>
      <c r="G73" s="19" t="inlineStr">
        <is>
          <t>9/8仍可卖EQ01部分</t>
        </is>
      </c>
      <c r="H73" s="19" t="inlineStr">
        <is>
          <t>EQ02跌停期间单股临时超限，不静默放行；次日开盘补卖</t>
        </is>
      </c>
      <c r="I73" s="19" t="inlineStr">
        <is>
          <t>次日开盘先核EQ02是否打开，再卖3500股</t>
        </is>
      </c>
    </row>
    <row r="74">
      <c r="A74" s="19" t="inlineStr">
        <is>
          <t>R4</t>
        </is>
      </c>
      <c r="B74" s="19" t="inlineStr">
        <is>
          <t>次日9/9新能源开盘再跌5%(已计入-5%、未加联动冲击前)</t>
        </is>
      </c>
      <c r="C74" s="19" t="inlineStr">
        <is>
          <t>下跌使权重下降、现金占比上升，非恶化项；恶化项是联动损失率</t>
        </is>
      </c>
      <c r="D74" s="19" t="inlineStr">
        <is>
          <t>不追加卖出；维持B持仓，观察联动损失率</t>
        </is>
      </c>
      <c r="E74" s="19" t="inlineStr">
        <is>
          <t>无新增交易</t>
        </is>
      </c>
      <c r="F74" s="19" t="inlineStr">
        <is>
          <t>新增交易费用0</t>
        </is>
      </c>
      <c r="G74" s="19" t="inlineStr">
        <is>
          <t>9/9盘中</t>
        </is>
      </c>
      <c r="H74" s="19" t="inlineStr">
        <is>
          <t>若联动损失率&gt;12%再议</t>
        </is>
      </c>
      <c r="I74" s="19" t="inlineStr">
        <is>
          <t>次日联动损失率≈11.73%，仍≤12%</t>
        </is>
      </c>
    </row>
    <row r="75">
      <c r="A75" s="19" t="inlineStr">
        <is>
          <t>R5</t>
        </is>
      </c>
      <c r="B75" s="19" t="inlineStr">
        <is>
          <t>客户坚持今日不卖任何电池(全留EQ02 600,000)</t>
        </is>
      </c>
      <c r="C75" s="19" t="inlineStr">
        <is>
          <t>保留电池使单股权重恒≥30%，任何卖其他品种都救不回25%上限</t>
        </is>
      </c>
      <c r="D75" s="19" t="inlineStr">
        <is>
          <t>主方案不采纳；附录测算：须清仓EQ01</t>
        </is>
      </c>
      <c r="E75" s="19" t="inlineStr">
        <is>
          <t>—</t>
        </is>
      </c>
      <c r="F75" s="19" t="inlineStr">
        <is>
          <t>—</t>
        </is>
      </c>
      <c r="G75" s="19" t="inlineStr">
        <is>
          <t>—</t>
        </is>
      </c>
      <c r="H75" s="19" t="inlineStr">
        <is>
          <t>若坚持，须客户书面把单股上限由25%放宽至≥30.2%；不替客户提高风险预算</t>
        </is>
      </c>
      <c r="I75" s="19" t="inlineStr">
        <is>
          <t>新能源30.2%、损失率10.9%仍达标，仅卡单股</t>
        </is>
      </c>
    </row>
    <row r="76">
      <c r="A76" s="19" t="inlineStr">
        <is>
          <t>R6</t>
        </is>
      </c>
      <c r="B76" s="19" t="inlineStr">
        <is>
          <t>次日需追加卖出复核时</t>
        </is>
      </c>
      <c r="C76" s="19" t="inlineStr">
        <is>
          <t>追加交易会先降分母再算损失率</t>
        </is>
      </c>
      <c r="D76" s="19" t="inlineStr">
        <is>
          <t>先扣新增交易费用，再用追加后、联动冲击前净资产作分母</t>
        </is>
      </c>
      <c r="E76" s="19" t="inlineStr">
        <is>
          <t>—</t>
        </is>
      </c>
      <c r="F76" s="19" t="inlineStr">
        <is>
          <t>按0.08%/0.03%逐笔扣</t>
        </is>
      </c>
      <c r="G76" s="19" t="inlineStr">
        <is>
          <t>9/9</t>
        </is>
      </c>
      <c r="H76" s="19" t="inlineStr">
        <is>
          <t>—</t>
        </is>
      </c>
      <c r="I76" s="19" t="inlineStr">
        <is>
          <t>按新分母重算四项约束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客户沟通说明（可直接使用；9/8收盘前电话/微信口径）</t>
        </is>
      </c>
    </row>
    <row r="2" ht="30" customHeight="1">
      <c r="A2" s="20" t="inlineStr">
        <is>
          <t>【结论】今天建议按组合风险减仓，而不是只卖赚钱的公用事业。只卖公用事业只能把现金补到30万，单股、新能源集中度和12%联动损失三项仍不达标；按风险减仓后四项约束可同时满足。</t>
        </is>
      </c>
    </row>
    <row r="3" ht="30" customHeight="1">
      <c r="A3" s="20" t="inlineStr"/>
    </row>
    <row r="4" ht="30" customHeight="1">
      <c r="A4" s="21" t="inlineStr">
        <is>
          <t>一、为什么不能只卖赚钱的公用事业、把亏损电池留着</t>
        </is>
      </c>
    </row>
    <row r="5" ht="30" customHeight="1">
      <c r="A5" s="20" t="inlineStr">
        <is>
          <t>· 账户14:30净资产1,990,000元。其中光伏500,000(25.1%)、电池600,000(30.2%)、公用事业300,000(15.1%)、宽基ETF360,000(18.1%)，现金230,000。</t>
        </is>
      </c>
    </row>
    <row r="6" ht="30" customHeight="1">
      <c r="A6" s="20" t="inlineStr">
        <is>
          <t>· 光伏+电池合计1,100,000，占55.3%，已超45%上限；电池单票30.2%、光伏25.1%，均超单票25%；现金23万低于30万；联动情景(光伏电池同跌25%、公用跌8%、ETF跌12%)损失342,200，占17.2%，超12%预算。</t>
        </is>
      </c>
    </row>
    <row r="7" ht="30" customHeight="1">
      <c r="A7" s="20" t="inlineStr">
        <is>
          <t>· 只卖公用事业(卖7,100股)后，现金补到约30.1万达标，但光伏、电池市值一分没减，权重反而因分母变小略升：新能源仍55.3%、电池30.2%、联动损失率16.9%——四项里只过了现金一项。卖盈利品种救不了集中度，因为超配的恰恰是亏损的光伏和电池。</t>
        </is>
      </c>
    </row>
    <row r="8" ht="30" customHeight="1">
      <c r="A8" s="20" t="inlineStr"/>
    </row>
    <row r="9" ht="30" customHeight="1">
      <c r="A9" s="21" t="inlineStr">
        <is>
          <t>二、建议方案(按组合风险减仓)</t>
        </is>
      </c>
    </row>
    <row r="10" ht="30" customHeight="1">
      <c r="A10" s="20" t="inlineStr">
        <is>
          <t>· 卖出：光伏EQ01 12,500股(约31.25万)、电池旧批EQ02 3,500股(约10.5万)；公用事业和宽基ETF保留不动。</t>
        </is>
      </c>
    </row>
    <row r="11" ht="30" customHeight="1">
      <c r="A11" s="20" t="inlineStr">
        <is>
          <t>· 成交后：现金约64.7万，光伏降到约9.4%、电池保留16,500股(约24.9%)、新能源约34.3%、联动损失约237,825、占11.95%。四项约束同时达标。</t>
        </is>
      </c>
    </row>
    <row r="12" ht="30" customHeight="1">
      <c r="A12" s="20" t="inlineStr">
        <is>
          <t>· 费用合计约334元(股票成交额0.08%、每笔最低5元)。实现亏损约80,334元(光伏每卖一股亏5元、电池旧批每股亏5元)——这是把账面亏损转为实际亏损，目的是把集中度和尾部损失压回预算内，不是看空后不再持有。</t>
        </is>
      </c>
    </row>
    <row r="13" ht="30" customHeight="1">
      <c r="A13" s="20" t="inlineStr">
        <is>
          <t>· 今天10:12新买的4,000股电池当日不可卖，不纳入今天任何卖量；这部分与旧批一并保留。</t>
        </is>
      </c>
    </row>
    <row r="14" ht="30" customHeight="1">
      <c r="A14" s="20" t="inlineStr"/>
    </row>
    <row r="15" ht="30" customHeight="1">
      <c r="A15" s="21" t="inlineStr">
        <is>
          <t>三、如果坚持一股电池都不卖</t>
        </is>
      </c>
    </row>
    <row r="16" ht="30" customHeight="1">
      <c r="A16" s="20" t="inlineStr">
        <is>
          <t>· 电池600,000要全留，则无论怎么卖其他品种，电池占净资产都在30%以上(因不能追加资金、分母最大199万)，25%单票上限必然卡不住。</t>
        </is>
      </c>
    </row>
    <row r="17" ht="30" customHeight="1">
      <c r="A17" s="20" t="inlineStr">
        <is>
          <t>· 唯一能其余三项都达标的做法是清仓光伏、全留电池：此时新能源30.2%、现金约73万、联动损失率10.9%均达标，但电池单票30.2%仍超25%。要这样做，必须把单票上限书面放宽到至少30.2%。</t>
        </is>
      </c>
    </row>
    <row r="18" ht="30" customHeight="1">
      <c r="A18" s="20" t="inlineStr">
        <is>
          <t>· 我们不建议、也不代客户提高风险预算；是否放宽请客户和风控明确确认后再执行。</t>
        </is>
      </c>
    </row>
    <row r="19" ht="30" customHeight="1">
      <c r="A19" s="20" t="inlineStr"/>
    </row>
    <row r="20" ht="30" customHeight="1">
      <c r="A20" s="21" t="inlineStr">
        <is>
          <t>四、保留的敞口与重新评估触发条件</t>
        </is>
      </c>
    </row>
    <row r="21" ht="30" customHeight="1">
      <c r="A21" s="20" t="inlineStr">
        <is>
          <t>· 保留：电池16,500股(含今日新买入4,000股)、光伏7,500股、公用事业30,000股、宽基ETF120,000份。新能源合计约34%，低于45%上限。</t>
        </is>
      </c>
    </row>
    <row r="22" ht="30" customHeight="1">
      <c r="A22" s="20" t="inlineStr">
        <is>
          <t>· 若次日(9/9)新能源开盘再跌5%：按规则不加仓、不追加卖出，此时联动损失率约11.7%，仍在12%以内；若盘中继续走弱使联动损失率逼近12%，再按新分母重算并减仓。</t>
        </is>
      </c>
    </row>
    <row r="23" ht="30" customHeight="1">
      <c r="A23" s="20" t="inlineStr">
        <is>
          <t>· 成交前待核：实际买一价、可卖数量、是否涨跌停；若电池跌停无法成交，先卖光伏，电池3,500股顺延至次日开盘补卖，不把今天测算价写成保证成交价。</t>
        </is>
      </c>
    </row>
    <row r="24" ht="30" customHeight="1">
      <c r="A24" s="20" t="inlineStr"/>
    </row>
    <row r="25" ht="30" customHeight="1">
      <c r="A25" s="21" t="inlineStr">
        <is>
          <t>五、非执行声明</t>
        </is>
      </c>
    </row>
    <row r="26" ht="30" customHeight="1">
      <c r="A26" s="20" t="inlineStr">
        <is>
          <t>· 以上为基于9/8 14:30买一价的条件测算，不连接券商、不代下单、不承诺回本；实际以收盘前报价、可卖数与风控确认为准。</t>
        </is>
      </c>
    </row>
  </sheetData>
  <mergeCells count="1"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40" customWidth="1" min="3" max="3"/>
    <col width="24" customWidth="1" min="4" max="4"/>
    <col width="14" customWidth="1" min="5" max="5"/>
  </cols>
  <sheetData>
    <row r="1">
      <c r="A1" s="1" t="inlineStr">
        <is>
          <t>核验表：抽查关键单元格公式与独立重算值是否一致</t>
        </is>
      </c>
    </row>
    <row r="2">
      <c r="A2" s="3" t="inlineStr">
        <is>
          <t>被核验指标</t>
        </is>
      </c>
      <c r="B2" s="3" t="inlineStr">
        <is>
          <t>取值所在单元格</t>
        </is>
      </c>
      <c r="C2" s="3" t="inlineStr">
        <is>
          <t>该单元格公式原文</t>
        </is>
      </c>
      <c r="D2" s="3" t="inlineStr">
        <is>
          <t>独立重算值(Python)</t>
        </is>
      </c>
      <c r="E2" s="3" t="inlineStr">
        <is>
          <t>与正文是否一致</t>
        </is>
      </c>
    </row>
    <row r="3">
      <c r="A3" s="19" t="inlineStr">
        <is>
          <t>14:30净资产(勾稽)</t>
        </is>
      </c>
      <c r="B3" s="19" t="inlineStr">
        <is>
          <t>账户核对!C7</t>
        </is>
      </c>
      <c r="C3" s="19" t="inlineStr">
        <is>
          <t>证券市值+现金=1,760,000+230,000</t>
        </is>
      </c>
      <c r="D3" s="19" t="inlineStr">
        <is>
          <t>1,990,000</t>
        </is>
      </c>
      <c r="E3" s="19" t="inlineStr">
        <is>
          <t>一致</t>
        </is>
      </c>
    </row>
    <row r="4">
      <c r="A4" s="19" t="inlineStr">
        <is>
          <t>13:00与14:30差额</t>
        </is>
      </c>
      <c r="B4" s="19" t="inlineStr">
        <is>
          <t>账户核对!D7</t>
        </is>
      </c>
      <c r="C4" s="19" t="inlineStr">
        <is>
          <t>2,030,000-1,990,000</t>
        </is>
      </c>
      <c r="D4" s="19" t="inlineStr">
        <is>
          <t>40,000(光伏-2万+电池-2万)</t>
        </is>
      </c>
      <c r="E4" s="19" t="inlineStr">
        <is>
          <t>一致</t>
        </is>
      </c>
    </row>
    <row r="5">
      <c r="A5" s="19" t="inlineStr">
        <is>
          <t>B方案费用合计</t>
        </is>
      </c>
      <c r="B5" s="19" t="inlineStr">
        <is>
          <t>调整与情景测算!D9</t>
        </is>
      </c>
      <c r="C5" s="19" t="inlineStr">
        <is>
          <t>MAX(12500*25*.0008,5)+MAX(3500*30*.0008,5)</t>
        </is>
      </c>
      <c r="D5" s="19" t="inlineStr">
        <is>
          <t>334.00</t>
        </is>
      </c>
      <c r="E5" s="19" t="inlineStr">
        <is>
          <t>一致</t>
        </is>
      </c>
    </row>
    <row r="6">
      <c r="A6" s="19" t="inlineStr">
        <is>
          <t>B方案成交后现金</t>
        </is>
      </c>
      <c r="B6" s="19" t="inlineStr">
        <is>
          <t>调整与情景测算!D11</t>
        </is>
      </c>
      <c r="C6" s="19" t="inlineStr">
        <is>
          <t>230000+417500-334</t>
        </is>
      </c>
      <c r="D6" s="19" t="inlineStr">
        <is>
          <t>647,166.00</t>
        </is>
      </c>
      <c r="E6" s="19" t="inlineStr">
        <is>
          <t>一致</t>
        </is>
      </c>
    </row>
    <row r="7">
      <c r="A7" s="19" t="inlineStr">
        <is>
          <t>B方案净资产D</t>
        </is>
      </c>
      <c r="B7" s="19" t="inlineStr">
        <is>
          <t>调整与情景测算!D12</t>
        </is>
      </c>
      <c r="C7" s="19" t="inlineStr">
        <is>
          <t>1,990,000-334</t>
        </is>
      </c>
      <c r="D7" s="19" t="inlineStr">
        <is>
          <t>1,989,666.00</t>
        </is>
      </c>
      <c r="E7" s="19" t="inlineStr">
        <is>
          <t>一致</t>
        </is>
      </c>
    </row>
    <row r="8">
      <c r="A8" s="19" t="inlineStr">
        <is>
          <t>B方案EQ02权重</t>
        </is>
      </c>
      <c r="B8" s="19" t="inlineStr">
        <is>
          <t>调整与情景测算!D19</t>
        </is>
      </c>
      <c r="C8" s="19" t="inlineStr">
        <is>
          <t>495000/1,989,666</t>
        </is>
      </c>
      <c r="D8" s="19" t="inlineStr">
        <is>
          <t>24.88%</t>
        </is>
      </c>
      <c r="E8" s="19" t="inlineStr">
        <is>
          <t>一致</t>
        </is>
      </c>
    </row>
    <row r="9">
      <c r="A9" s="19" t="inlineStr">
        <is>
          <t>B方案新能源权重</t>
        </is>
      </c>
      <c r="B9" s="19" t="inlineStr">
        <is>
          <t>调整与情景测算!D23</t>
        </is>
      </c>
      <c r="C9" s="19" t="inlineStr">
        <is>
          <t>682500/1,989,666</t>
        </is>
      </c>
      <c r="D9" s="19" t="inlineStr">
        <is>
          <t>34.30%</t>
        </is>
      </c>
      <c r="E9" s="19" t="inlineStr">
        <is>
          <t>一致</t>
        </is>
      </c>
    </row>
    <row r="10">
      <c r="A10" s="19" t="inlineStr">
        <is>
          <t>B方案联动损失率</t>
        </is>
      </c>
      <c r="B10" s="19" t="inlineStr">
        <is>
          <t>调整与情景测算!D25</t>
        </is>
      </c>
      <c r="C10" s="19" t="inlineStr">
        <is>
          <t>237825/1,989,666</t>
        </is>
      </c>
      <c r="D10" s="19" t="inlineStr">
        <is>
          <t>11.95%</t>
        </is>
      </c>
      <c r="E10" s="19" t="inlineStr">
        <is>
          <t>一致</t>
        </is>
      </c>
    </row>
    <row r="11">
      <c r="A11" s="19" t="inlineStr">
        <is>
          <t>A方案现金</t>
        </is>
      </c>
      <c r="B11" s="19" t="inlineStr">
        <is>
          <t>调整与情景测算!C11</t>
        </is>
      </c>
      <c r="C11" s="19" t="inlineStr">
        <is>
          <t>230000+71000-56.8</t>
        </is>
      </c>
      <c r="D11" s="19" t="inlineStr">
        <is>
          <t>300,943.20</t>
        </is>
      </c>
      <c r="E11" s="19" t="inlineStr">
        <is>
          <t>一致</t>
        </is>
      </c>
    </row>
    <row r="12">
      <c r="A12" s="19" t="inlineStr">
        <is>
          <t>A方案联动损失率</t>
        </is>
      </c>
      <c r="B12" s="19" t="inlineStr">
        <is>
          <t>调整与情景测算!C25</t>
        </is>
      </c>
      <c r="C12" s="19" t="inlineStr">
        <is>
          <t>336520/1,989,943.2</t>
        </is>
      </c>
      <c r="D12" s="19" t="inlineStr">
        <is>
          <t>16.91%</t>
        </is>
      </c>
      <c r="E12" s="19" t="inlineStr">
        <is>
          <t>一致</t>
        </is>
      </c>
    </row>
    <row r="13">
      <c r="A13" s="19" t="inlineStr">
        <is>
          <t>次日-5%后新分母</t>
        </is>
      </c>
      <c r="B13" s="19" t="inlineStr">
        <is>
          <t>调整与情景测算!B</t>
        </is>
      </c>
      <c r="C13" s="19" t="inlineStr">
        <is>
          <t>持仓1,308,375+现金647,166</t>
        </is>
      </c>
      <c r="D13" s="19" t="inlineStr">
        <is>
          <t>1,955,541</t>
        </is>
      </c>
      <c r="E13" s="19" t="inlineStr">
        <is>
          <t>一致</t>
        </is>
      </c>
    </row>
    <row r="14">
      <c r="A14" s="19" t="inlineStr">
        <is>
          <t>次日联动损失率</t>
        </is>
      </c>
      <c r="B14" s="19" t="inlineStr">
        <is>
          <t>调整与情景测算!B</t>
        </is>
      </c>
      <c r="C14" s="19" t="inlineStr">
        <is>
          <t>229293.75/1,955,541</t>
        </is>
      </c>
      <c r="D14" s="19" t="inlineStr">
        <is>
          <t>11.73%</t>
        </is>
      </c>
      <c r="E14" s="19" t="inlineStr">
        <is>
          <t>一致</t>
        </is>
      </c>
    </row>
    <row r="15">
      <c r="A15" s="19" t="inlineStr">
        <is>
          <t>权重加总(含现金)</t>
        </is>
      </c>
      <c r="B15" s="19" t="inlineStr">
        <is>
          <t>账户核对!H19</t>
        </is>
      </c>
      <c r="C15" s="19" t="inlineStr">
        <is>
          <t>五证券权重+现金权重</t>
        </is>
      </c>
      <c r="D15" s="19" t="inlineStr">
        <is>
          <t>100.00%</t>
        </is>
      </c>
      <c r="E15" s="19" t="inlineStr">
        <is>
          <t>一致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24" customWidth="1" min="4" max="4"/>
    <col width="30" customWidth="1" min="5" max="5"/>
  </cols>
  <sheetData>
    <row r="1">
      <c r="A1" s="1" t="inlineStr">
        <is>
          <t>交付自检回执 + 假设与缺失清单</t>
        </is>
      </c>
    </row>
    <row r="2">
      <c r="A2" s="2" t="inlineStr">
        <is>
          <t>一、自检回执表（逐行填值）</t>
        </is>
      </c>
    </row>
    <row r="3">
      <c r="A3" s="9" t="inlineStr">
        <is>
          <t>交付清单(只列文件名)</t>
        </is>
      </c>
      <c r="B3" s="19" t="inlineStr">
        <is>
          <t>集中持仓复核与处理方案_20260908.xlsx</t>
        </is>
      </c>
    </row>
    <row r="4">
      <c r="A4" s="9" t="inlineStr">
        <is>
          <t>交付主工件位置</t>
        </is>
      </c>
      <c r="B4" s="19" t="inlineStr">
        <is>
          <t>本工作簿「调整与情景测算」表第三~五节 + 「客户沟通说明」表</t>
        </is>
      </c>
    </row>
    <row r="5">
      <c r="A5" s="9" t="inlineStr">
        <is>
          <t>工作簿核验表</t>
        </is>
      </c>
      <c r="B5" s="19" t="inlineStr">
        <is>
          <t>「核验」表(本表外另一张)</t>
        </is>
      </c>
    </row>
    <row r="6">
      <c r="A6" s="9" t="inlineStr">
        <is>
          <t>占比分母定义与数值</t>
        </is>
      </c>
      <c r="B6" s="19" t="inlineStr">
        <is>
          <t>所有权重/损失率分母=扣除本方案费用后的净资产D；B方案D=1,989,666</t>
        </is>
      </c>
    </row>
    <row r="7">
      <c r="A7" s="9" t="inlineStr">
        <is>
          <t>最紧约束</t>
        </is>
      </c>
      <c r="B7" s="19" t="inlineStr">
        <is>
          <t>联动情景损失12% / 当前未调整17.20% / B方案反解=卖EQ01 12,500+EQ02旧批3,500 / R1</t>
        </is>
      </c>
    </row>
    <row r="8">
      <c r="A8" s="9" t="inlineStr">
        <is>
          <t>分解型占比加总</t>
        </is>
      </c>
      <c r="B8" s="19" t="inlineStr">
        <is>
          <t>B方案五项权重合计=100.00%(已加总核验)</t>
        </is>
      </c>
    </row>
    <row r="9">
      <c r="A9" s="9" t="inlineStr">
        <is>
          <t>最不利情景</t>
        </is>
      </c>
      <c r="B9" s="19" t="inlineStr">
        <is>
          <t>未调整17.20%；A方案16.91%；均&gt;12%不达标；B方案11.95%、次日-5%后11.73%</t>
        </is>
      </c>
    </row>
    <row r="10">
      <c r="A10" s="9" t="inlineStr">
        <is>
          <t>日期来源</t>
        </is>
      </c>
      <c r="B10" s="19" t="inlineStr">
        <is>
          <t>9/8周二、9/9周三均交易日；动作行日期取自材料，无编造</t>
        </is>
      </c>
    </row>
    <row r="11">
      <c r="A11" s="9" t="inlineStr">
        <is>
          <t>数量口径</t>
        </is>
      </c>
      <c r="B11" s="19" t="inlineStr">
        <is>
          <t>R1为累计总卖量(基准：EQ01=20,000、EQ02旧批=16,000)；今日买批4,000股不可卖</t>
        </is>
      </c>
    </row>
    <row r="12">
      <c r="A12" s="9" t="inlineStr">
        <is>
          <t>费用口径</t>
        </is>
      </c>
      <c r="B12" s="19" t="inlineStr">
        <is>
          <t>股票0.08%、ETF0.03%、每笔最低5元；B方案费用334，隐含费率=334/417500=0.0799%，与费率表一致</t>
        </is>
      </c>
    </row>
    <row r="13">
      <c r="A13" s="9" t="inlineStr">
        <is>
          <t>跨文件一致</t>
        </is>
      </c>
      <c r="B13" s="19" t="inlineStr">
        <is>
          <t>净资产1,990,000、B现金647,166、损失率11.95%在账户核对/调整/核验三处同值</t>
        </is>
      </c>
    </row>
    <row r="16">
      <c r="A16" s="2" t="inlineStr">
        <is>
          <t>二、假设与缺失清单</t>
        </is>
      </c>
    </row>
    <row r="17">
      <c r="A17" s="3" t="inlineStr">
        <is>
          <t>条目</t>
        </is>
      </c>
      <c r="B17" s="3" t="inlineStr">
        <is>
          <t>类型</t>
        </is>
      </c>
      <c r="C17" s="3" t="inlineStr">
        <is>
          <t>来源/依据</t>
        </is>
      </c>
      <c r="D17" s="3" t="inlineStr">
        <is>
          <t>影响结论</t>
        </is>
      </c>
      <c r="E17" s="3" t="inlineStr">
        <is>
          <t>补齐后重算</t>
        </is>
      </c>
    </row>
    <row r="18">
      <c r="A18" s="19" t="inlineStr">
        <is>
          <t>14:30买一价为测算价</t>
        </is>
      </c>
      <c r="B18" s="19" t="inlineStr">
        <is>
          <t>已确认事实</t>
        </is>
      </c>
      <c r="C18" s="19" t="inlineStr">
        <is>
          <t>材料B5/B13</t>
        </is>
      </c>
      <c r="D18" s="19" t="inlineStr">
        <is>
          <t>成交价可能偏离</t>
        </is>
      </c>
      <c r="E18" s="19" t="inlineStr">
        <is>
          <t>成交前按实际买一价重算D与损失率</t>
        </is>
      </c>
    </row>
    <row r="19">
      <c r="A19" s="19" t="inlineStr">
        <is>
          <t>今日买入电池4,000股当日不可卖</t>
        </is>
      </c>
      <c r="B19" s="19" t="inlineStr">
        <is>
          <t>已确认事实</t>
        </is>
      </c>
      <c r="C19" s="19" t="inlineStr">
        <is>
          <t>材料B11</t>
        </is>
      </c>
      <c r="D19" s="19" t="inlineStr">
        <is>
          <t>今日卖量不含该批</t>
        </is>
      </c>
      <c r="E19" s="19" t="inlineStr">
        <is>
          <t>9/9起该批可纳入卖量</t>
        </is>
      </c>
    </row>
    <row r="20">
      <c r="A20" s="19" t="inlineStr">
        <is>
          <t>无实时盘口/涨跌停</t>
        </is>
      </c>
      <c r="B20" s="19" t="inlineStr">
        <is>
          <t>仍缺证据</t>
        </is>
      </c>
      <c r="C20" s="19" t="inlineStr">
        <is>
          <t>无行情接口</t>
        </is>
      </c>
      <c r="D20" s="19" t="inlineStr">
        <is>
          <t>成交与否未知</t>
        </is>
      </c>
      <c r="E20" s="19" t="inlineStr">
        <is>
          <t>R2/R3给出未成交与跌停后手</t>
        </is>
      </c>
    </row>
    <row r="21">
      <c r="A21" s="19" t="inlineStr">
        <is>
          <t>无负债融资质押</t>
        </is>
      </c>
      <c r="B21" s="19" t="inlineStr">
        <is>
          <t>已确认事实</t>
        </is>
      </c>
      <c r="C21" s="19" t="inlineStr">
        <is>
          <t>材料B5</t>
        </is>
      </c>
      <c r="D21" s="19" t="inlineStr">
        <is>
          <t>净资产=现金+市值</t>
        </is>
      </c>
      <c r="E21" s="19" t="inlineStr">
        <is>
          <t>—</t>
        </is>
      </c>
    </row>
    <row r="22">
      <c r="A22" s="19" t="inlineStr">
        <is>
          <t>各品种合并一笔费用</t>
        </is>
      </c>
      <c r="B22" s="19" t="inlineStr">
        <is>
          <t>合理推断</t>
        </is>
      </c>
      <c r="C22" s="19" t="inlineStr">
        <is>
          <t>材料B10</t>
        </is>
      </c>
      <c r="D22" s="19" t="inlineStr">
        <is>
          <t>最低5元已逐笔计</t>
        </is>
      </c>
      <c r="E22" s="19" t="inlineStr">
        <is>
          <t>—</t>
        </is>
      </c>
    </row>
    <row r="23">
      <c r="A23" s="19" t="inlineStr">
        <is>
          <t>次日-5%后再联动冲击</t>
        </is>
      </c>
      <c r="B23" s="19" t="inlineStr">
        <is>
          <t>题设</t>
        </is>
      </c>
      <c r="C23" s="19" t="inlineStr">
        <is>
          <t>用户本轮定义</t>
        </is>
      </c>
      <c r="D23" s="19" t="inlineStr">
        <is>
          <t>损失率11.73%</t>
        </is>
      </c>
      <c r="E23" s="19" t="inlineStr">
        <is>
          <t>若实际跌幅不同按新价重算</t>
        </is>
      </c>
    </row>
    <row r="24">
      <c r="A24" s="19" t="inlineStr">
        <is>
          <t>未调整方案不计假设费用</t>
        </is>
      </c>
      <c r="B24" s="19" t="inlineStr">
        <is>
          <t>题设</t>
        </is>
      </c>
      <c r="C24" s="19" t="inlineStr">
        <is>
          <t>用户本轮定义</t>
        </is>
      </c>
      <c r="D24" s="19" t="inlineStr">
        <is>
          <t>未调整列D=1,990,000</t>
        </is>
      </c>
      <c r="E24" s="19" t="inlineStr">
        <is>
          <t>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2026-09-20T04:51:31Z</dcterms:created>
  <dcterms:modified xmlns:dcterms="http://purl.org/dc/terms/" xmlns:xsi="http://www.w3.org/2001/XMLSchema-instance" xsi:type="dcterms:W3CDTF">2026-09-20T04:51:31Z</dcterms:modified>
</cp:coreProperties>
</file>