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核对" sheetId="1" state="visible" r:id="rId1"/>
    <sheet xmlns:r="http://schemas.openxmlformats.org/officeDocument/2006/relationships" name="调整与情景测算" sheetId="2" state="visible" r:id="rId2"/>
    <sheet xmlns:r="http://schemas.openxmlformats.org/officeDocument/2006/relationships" name="客户沟通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sz val="10"/>
    </font>
    <font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4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4" fontId="6" fillId="0" borderId="1" pivotButton="0" quotePrefix="0" xfId="0"/>
    <xf numFmtId="0" fontId="0" fillId="0" borderId="1" applyAlignment="1" pivotButton="0" quotePrefix="0" xfId="0">
      <alignment vertical="top" wrapText="1"/>
    </xf>
    <xf numFmtId="10" fontId="0" fillId="0" borderId="1" pivotButton="0" quotePrefix="0" xfId="0"/>
    <xf numFmtId="1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4" fontId="0" fillId="4" borderId="1" pivotButton="0" quotePrefix="0" xfId="0"/>
    <xf numFmtId="2" fontId="0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账户核对 — 砻淬资本 2026年9月8日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3" t="inlineStr">
        <is>
          <t>口径：13:00汇总页 vs 14:30持仓明细；证券按内部代号；人民币普通账户，无负债/融资/质押。</t>
        </is>
      </c>
      <c r="B2" s="16" t="n"/>
      <c r="C2" s="16" t="n"/>
      <c r="D2" s="16" t="n"/>
      <c r="E2" s="16" t="n"/>
      <c r="F2" s="16" t="n"/>
      <c r="G2" s="16" t="n"/>
      <c r="H2" s="17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一、13:00 汇总页（来源：账户交接B6）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项目</t>
        </is>
      </c>
      <c r="B5" s="5" t="inlineStr">
        <is>
          <t>金额(元)</t>
        </is>
      </c>
      <c r="C5" s="5" t="inlineStr">
        <is>
          <t>说明</t>
        </is>
      </c>
      <c r="D5" s="2" t="n"/>
      <c r="E5" s="2" t="n"/>
      <c r="F5" s="2" t="n"/>
      <c r="G5" s="2" t="n"/>
      <c r="H5" s="2" t="n"/>
    </row>
    <row r="6">
      <c r="A6" s="2" t="inlineStr">
        <is>
          <t>总资产</t>
        </is>
      </c>
      <c r="B6" s="6" t="n">
        <v>2030000</v>
      </c>
      <c r="C6" s="2" t="inlineStr">
        <is>
          <t>13:00汇总页原值</t>
        </is>
      </c>
      <c r="D6" s="2" t="n"/>
      <c r="E6" s="2" t="n"/>
      <c r="F6" s="2" t="n"/>
      <c r="G6" s="2" t="n"/>
      <c r="H6" s="2" t="n"/>
    </row>
    <row r="7">
      <c r="A7" s="2" t="inlineStr">
        <is>
          <t>现金</t>
        </is>
      </c>
      <c r="B7" s="6" t="n">
        <v>230000</v>
      </c>
      <c r="C7" s="2" t="inlineStr">
        <is>
          <t>13:00汇总页原值</t>
        </is>
      </c>
      <c r="D7" s="2" t="n"/>
      <c r="E7" s="2" t="n"/>
      <c r="F7" s="2" t="n"/>
      <c r="G7" s="2" t="n"/>
      <c r="H7" s="2" t="n"/>
    </row>
    <row r="8">
      <c r="A8" s="2" t="inlineStr">
        <is>
          <t>证券市值(倒挤)</t>
        </is>
      </c>
      <c r="B8" s="6">
        <f>B6-B7</f>
        <v/>
      </c>
      <c r="C8" s="2" t="inlineStr">
        <is>
          <t>总资产 - 现金</t>
        </is>
      </c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4" t="inlineStr">
        <is>
          <t>二、14:30 持仓明细（来源：持仓批次表）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代号</t>
        </is>
      </c>
      <c r="B11" s="5" t="inlineStr">
        <is>
          <t>资产</t>
        </is>
      </c>
      <c r="C11" s="5" t="inlineStr">
        <is>
          <t>数量(股/份)</t>
        </is>
      </c>
      <c r="D11" s="5" t="inlineStr">
        <is>
          <t>批次总成本(元)</t>
        </is>
      </c>
      <c r="E11" s="5" t="inlineStr">
        <is>
          <t>今日可卖</t>
        </is>
      </c>
      <c r="F11" s="5" t="inlineStr">
        <is>
          <t>13:00参考价</t>
        </is>
      </c>
      <c r="G11" s="5" t="inlineStr">
        <is>
          <t>14:30买一价</t>
        </is>
      </c>
      <c r="H11" s="5" t="inlineStr">
        <is>
          <t>14:30市值(元)</t>
        </is>
      </c>
    </row>
    <row r="12">
      <c r="A12" s="2" t="inlineStr">
        <is>
          <t>EQ01</t>
        </is>
      </c>
      <c r="B12" s="2" t="inlineStr">
        <is>
          <t>光伏设备</t>
        </is>
      </c>
      <c r="C12" s="7" t="n">
        <v>20000</v>
      </c>
      <c r="D12" s="6" t="n">
        <v>600000</v>
      </c>
      <c r="E12" s="7" t="n">
        <v>20000</v>
      </c>
      <c r="F12" s="8" t="n">
        <v>26</v>
      </c>
      <c r="G12" s="8" t="n">
        <v>25</v>
      </c>
      <c r="H12" s="6">
        <f>C12*G12</f>
        <v/>
      </c>
    </row>
    <row r="13">
      <c r="A13" s="2" t="inlineStr">
        <is>
          <t>EQ02</t>
        </is>
      </c>
      <c r="B13" s="2" t="inlineStr">
        <is>
          <t>电池制造(历史批次)</t>
        </is>
      </c>
      <c r="C13" s="7" t="n">
        <v>16000</v>
      </c>
      <c r="D13" s="6" t="n">
        <v>560000</v>
      </c>
      <c r="E13" s="7" t="n">
        <v>16000</v>
      </c>
      <c r="F13" s="8" t="n">
        <v>31</v>
      </c>
      <c r="G13" s="8" t="n">
        <v>30</v>
      </c>
      <c r="H13" s="6">
        <f>C13*G13</f>
        <v/>
      </c>
    </row>
    <row r="14">
      <c r="A14" s="2" t="inlineStr">
        <is>
          <t>EQ02</t>
        </is>
      </c>
      <c r="B14" s="2" t="inlineStr">
        <is>
          <t>电池制造(今日买入)</t>
        </is>
      </c>
      <c r="C14" s="7" t="n">
        <v>4000</v>
      </c>
      <c r="D14" s="6" t="n">
        <v>122000</v>
      </c>
      <c r="E14" s="7" t="n">
        <v>0</v>
      </c>
      <c r="F14" s="8" t="n">
        <v>31</v>
      </c>
      <c r="G14" s="8" t="n">
        <v>30</v>
      </c>
      <c r="H14" s="6">
        <f>C14*G14</f>
        <v/>
      </c>
    </row>
    <row r="15">
      <c r="A15" s="2" t="inlineStr">
        <is>
          <t>EQ03</t>
        </is>
      </c>
      <c r="B15" s="2" t="inlineStr">
        <is>
          <t>公用事业</t>
        </is>
      </c>
      <c r="C15" s="7" t="n">
        <v>30000</v>
      </c>
      <c r="D15" s="6" t="n">
        <v>240000</v>
      </c>
      <c r="E15" s="7" t="n">
        <v>30000</v>
      </c>
      <c r="F15" s="8" t="n">
        <v>10</v>
      </c>
      <c r="G15" s="8" t="n">
        <v>10</v>
      </c>
      <c r="H15" s="6">
        <f>C15*G15</f>
        <v/>
      </c>
    </row>
    <row r="16">
      <c r="A16" s="2" t="inlineStr">
        <is>
          <t>ETF01</t>
        </is>
      </c>
      <c r="B16" s="2" t="inlineStr">
        <is>
          <t>A股宽基ETF</t>
        </is>
      </c>
      <c r="C16" s="7" t="n">
        <v>120000</v>
      </c>
      <c r="D16" s="6" t="n">
        <v>336000</v>
      </c>
      <c r="E16" s="7" t="n">
        <v>120000</v>
      </c>
      <c r="F16" s="8" t="n">
        <v>3</v>
      </c>
      <c r="G16" s="8" t="n">
        <v>3</v>
      </c>
      <c r="H16" s="6">
        <f>C16*G16</f>
        <v/>
      </c>
    </row>
    <row r="17">
      <c r="A17" s="9" t="inlineStr">
        <is>
          <t>合计</t>
        </is>
      </c>
      <c r="B17" s="2" t="n"/>
      <c r="C17" s="10">
        <f>SUM(C12:C16)</f>
        <v/>
      </c>
      <c r="D17" s="11">
        <f>SUM(D12:D16)</f>
        <v/>
      </c>
      <c r="E17" s="2" t="n"/>
      <c r="F17" s="2" t="n"/>
      <c r="G17" s="2" t="n"/>
      <c r="H17" s="11">
        <f>SUM(H12:H16)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4" t="inlineStr">
        <is>
          <t>三、14:30 总资产与差额核对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项目</t>
        </is>
      </c>
      <c r="B20" s="5" t="inlineStr">
        <is>
          <t>金额(元)</t>
        </is>
      </c>
      <c r="C20" s="5" t="inlineStr">
        <is>
          <t>公式/说明</t>
        </is>
      </c>
      <c r="D20" s="2" t="n"/>
      <c r="E20" s="2" t="n"/>
      <c r="F20" s="2" t="n"/>
      <c r="G20" s="2" t="n"/>
      <c r="H20" s="2" t="n"/>
    </row>
    <row r="21">
      <c r="A21" s="2" t="inlineStr">
        <is>
          <t>14:30现金</t>
        </is>
      </c>
      <c r="B21" s="6" t="n">
        <v>230000</v>
      </c>
      <c r="C21" s="2" t="inlineStr">
        <is>
          <t>账户交接B6：14:30现金仍为230,000</t>
        </is>
      </c>
      <c r="D21" s="2" t="n"/>
      <c r="E21" s="2" t="n"/>
      <c r="F21" s="2" t="n"/>
      <c r="G21" s="2" t="n"/>
      <c r="H21" s="2" t="n"/>
    </row>
    <row r="22">
      <c r="A22" s="2" t="inlineStr">
        <is>
          <t>14:30证券市值</t>
        </is>
      </c>
      <c r="B22" s="6">
        <f>H17</f>
        <v/>
      </c>
      <c r="C22" s="2" t="inlineStr">
        <is>
          <t>持仓明细市值合计</t>
        </is>
      </c>
      <c r="D22" s="2" t="n"/>
      <c r="E22" s="2" t="n"/>
      <c r="F22" s="2" t="n"/>
      <c r="G22" s="2" t="n"/>
      <c r="H22" s="2" t="n"/>
    </row>
    <row r="23">
      <c r="A23" s="2" t="inlineStr">
        <is>
          <t>14:30总资产</t>
        </is>
      </c>
      <c r="B23" s="6">
        <f>B21+B22</f>
        <v/>
      </c>
      <c r="C23" s="2" t="inlineStr">
        <is>
          <t>现金 + 证券市值</t>
        </is>
      </c>
      <c r="D23" s="2" t="n"/>
      <c r="E23" s="2" t="n"/>
      <c r="F23" s="2" t="n"/>
      <c r="G23" s="2" t="n"/>
      <c r="H23" s="2" t="n"/>
    </row>
    <row r="24">
      <c r="A24" s="2" t="inlineStr">
        <is>
          <t>13:00总资产</t>
        </is>
      </c>
      <c r="B24" s="6">
        <f>B6</f>
        <v/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差额(14:30-13:00)</t>
        </is>
      </c>
      <c r="B25" s="12">
        <f>B23-B24</f>
        <v/>
      </c>
      <c r="C25" s="2" t="n"/>
      <c r="D25" s="2" t="n"/>
      <c r="E25" s="2" t="n"/>
      <c r="F25" s="2" t="n"/>
      <c r="G25" s="2" t="n"/>
      <c r="H25" s="2" t="n"/>
    </row>
    <row r="26" ht="45" customHeight="1">
      <c r="A26" s="2" t="inlineStr">
        <is>
          <t>差额来源说明</t>
        </is>
      </c>
      <c r="B26" s="13" t="inlineStr">
        <is>
          <t>13:00→14:30报价变动：光伏-1元/股×20,000=-20,000；电池-1元/股×20,000=-20,000；公用事业和ETF价格不变。合计-40,000。汇总页未随报价更新，故13:00总资产高于14:30。</t>
        </is>
      </c>
      <c r="C26" s="16" t="n"/>
      <c r="D26" s="16" t="n"/>
      <c r="E26" s="16" t="n"/>
      <c r="F26" s="16" t="n"/>
      <c r="G26" s="16" t="n"/>
      <c r="H26" s="17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4" t="inlineStr">
        <is>
          <t>四、各品种盈亏与权重（14:30口径，总资产=14:30总资产）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代号</t>
        </is>
      </c>
      <c r="B29" s="5" t="inlineStr">
        <is>
          <t>资产</t>
        </is>
      </c>
      <c r="C29" s="5" t="inlineStr">
        <is>
          <t>数量</t>
        </is>
      </c>
      <c r="D29" s="5" t="inlineStr">
        <is>
          <t>总成本(元)</t>
        </is>
      </c>
      <c r="E29" s="5" t="inlineStr">
        <is>
          <t>14:30市值(元)</t>
        </is>
      </c>
      <c r="F29" s="5" t="inlineStr">
        <is>
          <t>浮动盈亏(元)</t>
        </is>
      </c>
      <c r="G29" s="5" t="inlineStr">
        <is>
          <t>盈亏率</t>
        </is>
      </c>
      <c r="H29" s="5" t="inlineStr">
        <is>
          <t>权重</t>
        </is>
      </c>
    </row>
    <row r="30">
      <c r="A30" s="2" t="inlineStr">
        <is>
          <t>EQ01</t>
        </is>
      </c>
      <c r="B30" s="2" t="inlineStr">
        <is>
          <t>光伏设备</t>
        </is>
      </c>
      <c r="C30" s="7" t="n">
        <v>20000</v>
      </c>
      <c r="D30" s="6" t="n">
        <v>600000</v>
      </c>
      <c r="E30" s="6">
        <f>C30*25</f>
        <v/>
      </c>
      <c r="F30" s="6">
        <f>E30-D30</f>
        <v/>
      </c>
      <c r="G30" s="14">
        <f>F30/D30</f>
        <v/>
      </c>
      <c r="H30" s="14">
        <f>E30/$B$23</f>
        <v/>
      </c>
    </row>
    <row r="31">
      <c r="A31" s="2" t="inlineStr">
        <is>
          <t>EQ02</t>
        </is>
      </c>
      <c r="B31" s="2" t="inlineStr">
        <is>
          <t>电池制造(合计)</t>
        </is>
      </c>
      <c r="C31" s="7" t="n">
        <v>20000</v>
      </c>
      <c r="D31" s="6" t="n">
        <v>682000</v>
      </c>
      <c r="E31" s="6">
        <f>C31*30</f>
        <v/>
      </c>
      <c r="F31" s="6">
        <f>E31-D31</f>
        <v/>
      </c>
      <c r="G31" s="14">
        <f>F31/D31</f>
        <v/>
      </c>
      <c r="H31" s="14">
        <f>E31/$B$23</f>
        <v/>
      </c>
    </row>
    <row r="32">
      <c r="A32" s="2" t="inlineStr">
        <is>
          <t>EQ03</t>
        </is>
      </c>
      <c r="B32" s="2" t="inlineStr">
        <is>
          <t>公用事业</t>
        </is>
      </c>
      <c r="C32" s="7" t="n">
        <v>30000</v>
      </c>
      <c r="D32" s="6" t="n">
        <v>240000</v>
      </c>
      <c r="E32" s="6">
        <f>C32*10</f>
        <v/>
      </c>
      <c r="F32" s="6">
        <f>E32-D32</f>
        <v/>
      </c>
      <c r="G32" s="14">
        <f>F32/D32</f>
        <v/>
      </c>
      <c r="H32" s="14">
        <f>E32/$B$23</f>
        <v/>
      </c>
    </row>
    <row r="33">
      <c r="A33" s="2" t="inlineStr">
        <is>
          <t>ETF01</t>
        </is>
      </c>
      <c r="B33" s="2" t="inlineStr">
        <is>
          <t>A股宽基ETF</t>
        </is>
      </c>
      <c r="C33" s="7" t="n">
        <v>120000</v>
      </c>
      <c r="D33" s="6" t="n">
        <v>336000</v>
      </c>
      <c r="E33" s="6">
        <f>C33*3</f>
        <v/>
      </c>
      <c r="F33" s="6">
        <f>E33-D33</f>
        <v/>
      </c>
      <c r="G33" s="14">
        <f>F33/D33</f>
        <v/>
      </c>
      <c r="H33" s="14">
        <f>E33/$B$23</f>
        <v/>
      </c>
    </row>
    <row r="34">
      <c r="A34" s="2" t="inlineStr">
        <is>
          <t>CASH</t>
        </is>
      </c>
      <c r="B34" s="2" t="inlineStr">
        <is>
          <t>现金</t>
        </is>
      </c>
      <c r="C34" s="2" t="inlineStr">
        <is>
          <t>—</t>
        </is>
      </c>
      <c r="D34" s="2" t="inlineStr">
        <is>
          <t>—</t>
        </is>
      </c>
      <c r="E34" s="6">
        <f>B21</f>
        <v/>
      </c>
      <c r="F34" s="2" t="inlineStr">
        <is>
          <t>—</t>
        </is>
      </c>
      <c r="G34" s="2" t="inlineStr">
        <is>
          <t>—</t>
        </is>
      </c>
      <c r="H34" s="14">
        <f>E34/$B$23</f>
        <v/>
      </c>
    </row>
    <row r="35">
      <c r="A35" s="9" t="inlineStr">
        <is>
          <t>合计</t>
        </is>
      </c>
      <c r="B35" s="2" t="n"/>
      <c r="C35" s="2" t="n"/>
      <c r="D35" s="2" t="n"/>
      <c r="E35" s="11">
        <f>SUM(E30:E34)</f>
        <v/>
      </c>
      <c r="F35" s="11">
        <f>SUM(F30:F33)</f>
        <v/>
      </c>
      <c r="G35" s="2" t="n"/>
      <c r="H35" s="15">
        <f>SUM(H30:H34)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4" t="inlineStr">
        <is>
          <t>五、未调整组合约束诊断（14:30口径）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5" t="inlineStr">
        <is>
          <t>约束</t>
        </is>
      </c>
      <c r="B38" s="5" t="inlineStr">
        <is>
          <t>阈值</t>
        </is>
      </c>
      <c r="C38" s="5" t="inlineStr">
        <is>
          <t>当前值</t>
        </is>
      </c>
      <c r="D38" s="5" t="inlineStr">
        <is>
          <t>是否满足</t>
        </is>
      </c>
      <c r="E38" s="5" t="inlineStr">
        <is>
          <t>说明</t>
        </is>
      </c>
      <c r="F38" s="2" t="n"/>
      <c r="G38" s="2" t="n"/>
      <c r="H38" s="2" t="n"/>
    </row>
    <row r="39">
      <c r="A39" s="2" t="inlineStr">
        <is>
          <t>单股≤25%（光伏EQ01）</t>
        </is>
      </c>
      <c r="B39" s="14" t="n">
        <v>0.25</v>
      </c>
      <c r="C39" s="14">
        <f>E30/$B$23</f>
        <v/>
      </c>
      <c r="D39" s="2">
        <f>IF(C39&lt;=B39,"满足","违反")</f>
        <v/>
      </c>
      <c r="E39" s="2" t="inlineStr">
        <is>
          <t>光伏权重25.13%，已超25%</t>
        </is>
      </c>
      <c r="F39" s="2" t="n"/>
      <c r="G39" s="2" t="n"/>
      <c r="H39" s="2" t="n"/>
    </row>
    <row r="40">
      <c r="A40" s="2" t="inlineStr">
        <is>
          <t>单股≤25%（电池EQ02）</t>
        </is>
      </c>
      <c r="B40" s="14" t="n">
        <v>0.25</v>
      </c>
      <c r="C40" s="14">
        <f>E31/$B$23</f>
        <v/>
      </c>
      <c r="D40" s="2">
        <f>IF(C40&lt;=B40,"满足","违反")</f>
        <v/>
      </c>
      <c r="E40" s="2" t="inlineStr">
        <is>
          <t>电池权重30.15%，已超25%</t>
        </is>
      </c>
      <c r="F40" s="2" t="n"/>
      <c r="G40" s="2" t="n"/>
      <c r="H40" s="2" t="n"/>
    </row>
    <row r="41">
      <c r="A41" s="2" t="inlineStr">
        <is>
          <t>新能源合计≤45%</t>
        </is>
      </c>
      <c r="B41" s="14" t="n">
        <v>0.45</v>
      </c>
      <c r="C41" s="14">
        <f>(E30+E31)/$B$23</f>
        <v/>
      </c>
      <c r="D41" s="2">
        <f>IF(C41&lt;=B41,"满足","违反")</f>
        <v/>
      </c>
      <c r="E41" s="2" t="inlineStr">
        <is>
          <t>光伏+电池=55.28%，远超45%</t>
        </is>
      </c>
      <c r="F41" s="2" t="n"/>
      <c r="G41" s="2" t="n"/>
      <c r="H41" s="2" t="n"/>
    </row>
    <row r="42">
      <c r="A42" s="2" t="inlineStr">
        <is>
          <t>现金≥300,000元</t>
        </is>
      </c>
      <c r="B42" s="6" t="n">
        <v>300000</v>
      </c>
      <c r="C42" s="6">
        <f>B21</f>
        <v/>
      </c>
      <c r="D42" s="2">
        <f>IF(C42&gt;=B42,"满足","违反")</f>
        <v/>
      </c>
      <c r="E42" s="2" t="inlineStr">
        <is>
          <t>现金230,000，缺口70,000</t>
        </is>
      </c>
      <c r="F42" s="2" t="n"/>
      <c r="G42" s="2" t="n"/>
      <c r="H42" s="2" t="n"/>
    </row>
    <row r="43">
      <c r="A43" s="2" t="inlineStr">
        <is>
          <t>联动情景损失≤12%</t>
        </is>
      </c>
      <c r="B43" s="14" t="n">
        <v>0.12</v>
      </c>
      <c r="C43" s="14">
        <f>(0.25*E30+0.25*E31+0.08*E32+0.12*E33)/$B$23</f>
        <v/>
      </c>
      <c r="D43" s="2">
        <f>IF(C43&lt;=B43,"满足","违反")</f>
        <v/>
      </c>
      <c r="E43" s="2" t="inlineStr">
        <is>
          <t>光伏/电池各-25%，公用-8%，ETF-12%</t>
        </is>
      </c>
      <c r="F43" s="2" t="n"/>
      <c r="G43" s="2" t="n"/>
      <c r="H43" s="2" t="n"/>
    </row>
  </sheetData>
  <mergeCells count="3">
    <mergeCell ref="A2:H2"/>
    <mergeCell ref="B26:H2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调整与情景测算 — 砻淬资本 2026年9月8日</t>
        </is>
      </c>
      <c r="B1" s="2" t="n"/>
      <c r="C1" s="2" t="n"/>
      <c r="D1" s="2" t="n"/>
      <c r="E1" s="2" t="n"/>
    </row>
    <row r="2">
      <c r="A2" s="3" t="inlineStr">
        <is>
          <t>黄色单元格为可调整输入；其余为公式。费用按附件标准：股票0.08%、ETF0.03%，每笔最低5元，每品种每日合并一笔。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一、输入参数（14:30口径）</t>
        </is>
      </c>
      <c r="B4" s="4" t="n"/>
      <c r="C4" s="4" t="n"/>
      <c r="D4" s="4" t="n"/>
      <c r="E4" s="4" t="n"/>
    </row>
    <row r="5">
      <c r="A5" s="2" t="inlineStr">
        <is>
          <t>14:30现金(元)</t>
        </is>
      </c>
      <c r="B5" s="18" t="n">
        <v>230000</v>
      </c>
      <c r="C5" s="2" t="n"/>
      <c r="D5" s="2" t="n"/>
      <c r="E5" s="2" t="n"/>
    </row>
    <row r="6">
      <c r="A6" s="2" t="inlineStr">
        <is>
          <t>EQ01 光伏 价格(元)</t>
        </is>
      </c>
      <c r="B6" s="19" t="n">
        <v>25</v>
      </c>
      <c r="C6" s="2" t="n"/>
      <c r="D6" s="2" t="n"/>
      <c r="E6" s="2" t="n"/>
    </row>
    <row r="7">
      <c r="A7" s="2" t="inlineStr">
        <is>
          <t>EQ02 电池 价格(元)</t>
        </is>
      </c>
      <c r="B7" s="19" t="n">
        <v>30</v>
      </c>
      <c r="C7" s="2" t="n"/>
      <c r="D7" s="2" t="n"/>
      <c r="E7" s="2" t="n"/>
    </row>
    <row r="8">
      <c r="A8" s="2" t="inlineStr">
        <is>
          <t>EQ03 公用事业 价格(元)</t>
        </is>
      </c>
      <c r="B8" s="19" t="n">
        <v>10</v>
      </c>
      <c r="C8" s="2" t="n"/>
      <c r="D8" s="2" t="n"/>
      <c r="E8" s="2" t="n"/>
    </row>
    <row r="9">
      <c r="A9" s="2" t="inlineStr">
        <is>
          <t>ETF01 宽基 价格(元)</t>
        </is>
      </c>
      <c r="B9" s="19" t="n">
        <v>3</v>
      </c>
      <c r="C9" s="2" t="n"/>
      <c r="D9" s="2" t="n"/>
      <c r="E9" s="2" t="n"/>
    </row>
    <row r="10">
      <c r="A10" s="2" t="inlineStr">
        <is>
          <t>EQ01 持仓(股)</t>
        </is>
      </c>
      <c r="B10" s="20" t="n">
        <v>20000</v>
      </c>
      <c r="C10" s="2" t="n"/>
      <c r="D10" s="2" t="n"/>
      <c r="E10" s="2" t="n"/>
    </row>
    <row r="11">
      <c r="A11" s="2" t="inlineStr">
        <is>
          <t>EQ02 总持仓(股)</t>
        </is>
      </c>
      <c r="B11" s="20" t="n">
        <v>20000</v>
      </c>
      <c r="C11" s="2" t="n"/>
      <c r="D11" s="2" t="n"/>
      <c r="E11" s="2" t="n"/>
    </row>
    <row r="12">
      <c r="A12" s="2" t="inlineStr">
        <is>
          <t>EQ02 今日可卖(股,历史批次)</t>
        </is>
      </c>
      <c r="B12" s="20" t="n">
        <v>16000</v>
      </c>
      <c r="C12" s="2" t="n"/>
      <c r="D12" s="2" t="n"/>
      <c r="E12" s="2" t="n"/>
    </row>
    <row r="13">
      <c r="A13" s="2" t="inlineStr">
        <is>
          <t>EQ02 今日买入不可卖(股)</t>
        </is>
      </c>
      <c r="B13" s="20" t="n">
        <v>4000</v>
      </c>
      <c r="C13" s="2" t="n"/>
      <c r="D13" s="2" t="n"/>
      <c r="E13" s="2" t="n"/>
    </row>
    <row r="14">
      <c r="A14" s="2" t="inlineStr">
        <is>
          <t>EQ03 持仓(股)</t>
        </is>
      </c>
      <c r="B14" s="20" t="n">
        <v>30000</v>
      </c>
      <c r="C14" s="2" t="n"/>
      <c r="D14" s="2" t="n"/>
      <c r="E14" s="2" t="n"/>
    </row>
    <row r="15">
      <c r="A15" s="2" t="inlineStr">
        <is>
          <t>ETF01 持仓(份)</t>
        </is>
      </c>
      <c r="B15" s="20" t="n">
        <v>120000</v>
      </c>
      <c r="C15" s="2" t="n"/>
      <c r="D15" s="2" t="n"/>
      <c r="E15" s="2" t="n"/>
    </row>
    <row r="16">
      <c r="A16" s="2" t="inlineStr">
        <is>
          <t>股票卖出费率</t>
        </is>
      </c>
      <c r="B16" s="21" t="n">
        <v>0.0008</v>
      </c>
      <c r="C16" s="2" t="n"/>
      <c r="D16" s="2" t="n"/>
      <c r="E16" s="2" t="n"/>
    </row>
    <row r="17">
      <c r="A17" s="2" t="inlineStr">
        <is>
          <t>ETF卖出费率</t>
        </is>
      </c>
      <c r="B17" s="21" t="n">
        <v>0.0003</v>
      </c>
      <c r="C17" s="2" t="n"/>
      <c r="D17" s="2" t="n"/>
      <c r="E17" s="2" t="n"/>
    </row>
    <row r="18">
      <c r="A18" s="2" t="inlineStr">
        <is>
          <t>每笔最低费用(元)</t>
        </is>
      </c>
      <c r="B18" s="18" t="n">
        <v>5</v>
      </c>
      <c r="C18" s="2" t="n"/>
      <c r="D18" s="2" t="n"/>
      <c r="E18" s="2" t="n"/>
    </row>
    <row r="19">
      <c r="A19" s="2" t="inlineStr">
        <is>
          <t>联动冲击-光伏/电池</t>
        </is>
      </c>
      <c r="B19" s="21" t="n">
        <v>0.25</v>
      </c>
      <c r="C19" s="2" t="n"/>
      <c r="D19" s="2" t="n"/>
      <c r="E19" s="2" t="n"/>
    </row>
    <row r="20">
      <c r="A20" s="2" t="inlineStr">
        <is>
          <t>联动冲击-公用事业</t>
        </is>
      </c>
      <c r="B20" s="21" t="n">
        <v>0.08</v>
      </c>
      <c r="C20" s="2" t="n"/>
      <c r="D20" s="2" t="n"/>
      <c r="E20" s="2" t="n"/>
    </row>
    <row r="21">
      <c r="A21" s="2" t="inlineStr">
        <is>
          <t>联动冲击-宽基ETF</t>
        </is>
      </c>
      <c r="B21" s="21" t="n">
        <v>0.12</v>
      </c>
      <c r="C21" s="2" t="n"/>
      <c r="D21" s="2" t="n"/>
      <c r="E21" s="2" t="n"/>
    </row>
    <row r="22">
      <c r="A22" s="2" t="inlineStr">
        <is>
          <t>约束:单股≤净资产</t>
        </is>
      </c>
      <c r="B22" s="21" t="n">
        <v>0.25</v>
      </c>
      <c r="C22" s="2" t="n"/>
      <c r="D22" s="2" t="n"/>
      <c r="E22" s="2" t="n"/>
    </row>
    <row r="23">
      <c r="A23" s="2" t="inlineStr">
        <is>
          <t>约束:新能源合计≤净资产</t>
        </is>
      </c>
      <c r="B23" s="21" t="n">
        <v>0.45</v>
      </c>
      <c r="C23" s="2" t="n"/>
      <c r="D23" s="2" t="n"/>
      <c r="E23" s="2" t="n"/>
    </row>
    <row r="24">
      <c r="A24" s="2" t="inlineStr">
        <is>
          <t>约束:现金≥(元)</t>
        </is>
      </c>
      <c r="B24" s="18" t="n">
        <v>300000</v>
      </c>
      <c r="C24" s="2" t="n"/>
      <c r="D24" s="2" t="n"/>
      <c r="E24" s="2" t="n"/>
    </row>
    <row r="25">
      <c r="A25" s="2" t="inlineStr">
        <is>
          <t>约束:联动损失率≤</t>
        </is>
      </c>
      <c r="B25" s="21" t="n">
        <v>0.12</v>
      </c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4" t="inlineStr">
        <is>
          <t>二、方案对比（卖出数量为黄色输入，可调整）</t>
        </is>
      </c>
      <c r="B27" s="4" t="n"/>
      <c r="C27" s="4" t="n"/>
      <c r="D27" s="4" t="n"/>
      <c r="E27" s="4" t="n"/>
    </row>
    <row r="28">
      <c r="A28" s="5" t="inlineStr">
        <is>
          <t>项目</t>
        </is>
      </c>
      <c r="B28" s="5" t="inlineStr">
        <is>
          <t>未调整(基准)</t>
        </is>
      </c>
      <c r="C28" s="5" t="inlineStr">
        <is>
          <t>方案A：只卖盈利品种</t>
        </is>
      </c>
      <c r="D28" s="5" t="inlineStr">
        <is>
          <t>方案B：按组合风险减仓</t>
        </is>
      </c>
      <c r="E28" s="5" t="inlineStr">
        <is>
          <t>说明/公式</t>
        </is>
      </c>
    </row>
    <row r="29">
      <c r="A29" s="2" t="inlineStr">
        <is>
          <t>EQ01 卖出(股)</t>
        </is>
      </c>
      <c r="B29" s="20" t="n">
        <v>0</v>
      </c>
      <c r="C29" s="20" t="n">
        <v>0</v>
      </c>
      <c r="D29" s="20" t="n">
        <v>12000</v>
      </c>
      <c r="E29" s="2" t="n"/>
    </row>
    <row r="30">
      <c r="A30" s="2" t="inlineStr">
        <is>
          <t>EQ02 卖出(股,仅历史批次)</t>
        </is>
      </c>
      <c r="B30" s="20" t="n">
        <v>0</v>
      </c>
      <c r="C30" s="20" t="n">
        <v>0</v>
      </c>
      <c r="D30" s="20" t="n">
        <v>4000</v>
      </c>
      <c r="E30" s="2" t="n"/>
    </row>
    <row r="31">
      <c r="A31" s="2" t="inlineStr">
        <is>
          <t>EQ03 卖出(股)</t>
        </is>
      </c>
      <c r="B31" s="20" t="n">
        <v>0</v>
      </c>
      <c r="C31" s="20" t="n">
        <v>30000</v>
      </c>
      <c r="D31" s="20" t="n">
        <v>0</v>
      </c>
      <c r="E31" s="2" t="n"/>
    </row>
    <row r="32">
      <c r="A32" s="2" t="inlineStr">
        <is>
          <t>ETF01 卖出(份)</t>
        </is>
      </c>
      <c r="B32" s="20" t="n">
        <v>0</v>
      </c>
      <c r="C32" s="20" t="n">
        <v>120000</v>
      </c>
      <c r="D32" s="20" t="n">
        <v>0</v>
      </c>
      <c r="E32" s="2" t="n"/>
    </row>
    <row r="33">
      <c r="A33" s="9" t="inlineStr">
        <is>
          <t>卖出成交额(元)</t>
        </is>
      </c>
      <c r="B33" s="2" t="n"/>
      <c r="C33" s="2" t="n"/>
      <c r="D33" s="2" t="n"/>
      <c r="E33" s="2" t="n"/>
    </row>
    <row r="34">
      <c r="A34" s="2" t="inlineStr">
        <is>
          <t xml:space="preserve">  EQ01 成交额</t>
        </is>
      </c>
      <c r="B34" s="6">
        <f>B29*$B$6</f>
        <v/>
      </c>
      <c r="C34" s="6">
        <f>C29*$B$6</f>
        <v/>
      </c>
      <c r="D34" s="6">
        <f>D29*$B$6</f>
        <v/>
      </c>
      <c r="E34" s="2" t="n"/>
    </row>
    <row r="35">
      <c r="A35" s="2" t="inlineStr">
        <is>
          <t xml:space="preserve">  EQ02 成交额</t>
        </is>
      </c>
      <c r="B35" s="6">
        <f>B30*$B$7</f>
        <v/>
      </c>
      <c r="C35" s="6">
        <f>C30*$B$7</f>
        <v/>
      </c>
      <c r="D35" s="6">
        <f>D30*$B$7</f>
        <v/>
      </c>
      <c r="E35" s="2" t="n"/>
    </row>
    <row r="36">
      <c r="A36" s="2" t="inlineStr">
        <is>
          <t xml:space="preserve">  EQ03 成交额</t>
        </is>
      </c>
      <c r="B36" s="6">
        <f>B31*$B$8</f>
        <v/>
      </c>
      <c r="C36" s="6">
        <f>C31*$B$8</f>
        <v/>
      </c>
      <c r="D36" s="6">
        <f>D31*$B$8</f>
        <v/>
      </c>
      <c r="E36" s="2" t="n"/>
    </row>
    <row r="37">
      <c r="A37" s="2" t="inlineStr">
        <is>
          <t xml:space="preserve">  ETF01 成交额</t>
        </is>
      </c>
      <c r="B37" s="6">
        <f>B32*$B$9</f>
        <v/>
      </c>
      <c r="C37" s="6">
        <f>C32*$B$9</f>
        <v/>
      </c>
      <c r="D37" s="6">
        <f>D32*$B$9</f>
        <v/>
      </c>
      <c r="E37" s="2" t="n"/>
    </row>
    <row r="38">
      <c r="A38" s="9" t="inlineStr">
        <is>
          <t>卖出费用(元)</t>
        </is>
      </c>
      <c r="B38" s="2" t="n"/>
      <c r="C38" s="2" t="n"/>
      <c r="D38" s="2" t="n"/>
      <c r="E38" s="2" t="n"/>
    </row>
    <row r="39">
      <c r="A39" s="2" t="inlineStr">
        <is>
          <t xml:space="preserve">  EQ01 费用</t>
        </is>
      </c>
      <c r="B39" s="6">
        <f>IF(B34=0,0,MAX(B34*$B$16,$B$18))</f>
        <v/>
      </c>
      <c r="C39" s="6">
        <f>IF(C34=0,0,MAX(C34*$B$16,$B$18))</f>
        <v/>
      </c>
      <c r="D39" s="6">
        <f>IF(D34=0,0,MAX(D34*$B$16,$B$18))</f>
        <v/>
      </c>
      <c r="E39" s="2" t="n"/>
    </row>
    <row r="40">
      <c r="A40" s="2" t="inlineStr">
        <is>
          <t xml:space="preserve">  EQ02 费用</t>
        </is>
      </c>
      <c r="B40" s="6">
        <f>IF(B35=0,0,MAX(B35*$B$16,$B$18))</f>
        <v/>
      </c>
      <c r="C40" s="6">
        <f>IF(C35=0,0,MAX(C35*$B$16,$B$18))</f>
        <v/>
      </c>
      <c r="D40" s="6">
        <f>IF(D35=0,0,MAX(D35*$B$16,$B$18))</f>
        <v/>
      </c>
      <c r="E40" s="2" t="n"/>
    </row>
    <row r="41">
      <c r="A41" s="2" t="inlineStr">
        <is>
          <t xml:space="preserve">  EQ03 费用</t>
        </is>
      </c>
      <c r="B41" s="6">
        <f>IF(B36=0,0,MAX(B36*$B$16,$B$18))</f>
        <v/>
      </c>
      <c r="C41" s="6">
        <f>IF(C36=0,0,MAX(C36*$B$16,$B$18))</f>
        <v/>
      </c>
      <c r="D41" s="6">
        <f>IF(D36=0,0,MAX(D36*$B$16,$B$18))</f>
        <v/>
      </c>
      <c r="E41" s="2" t="n"/>
    </row>
    <row r="42">
      <c r="A42" s="2" t="inlineStr">
        <is>
          <t xml:space="preserve">  ETF01 费用</t>
        </is>
      </c>
      <c r="B42" s="6">
        <f>IF(B37=0,0,MAX(B37*$B$17,$B$18))</f>
        <v/>
      </c>
      <c r="C42" s="6">
        <f>IF(C37=0,0,MAX(C37*$B$17,$B$18))</f>
        <v/>
      </c>
      <c r="D42" s="6">
        <f>IF(D37=0,0,MAX(D37*$B$17,$B$18))</f>
        <v/>
      </c>
      <c r="E42" s="2" t="n"/>
    </row>
    <row r="43">
      <c r="A43" s="9" t="inlineStr">
        <is>
          <t xml:space="preserve">  费用合计</t>
        </is>
      </c>
      <c r="B43" s="6">
        <f>B39+B40+B41+B42</f>
        <v/>
      </c>
      <c r="C43" s="6">
        <f>C39+C40+C41+C42</f>
        <v/>
      </c>
      <c r="D43" s="6">
        <f>D39+D40+D41+D42</f>
        <v/>
      </c>
      <c r="E43" s="2" t="n"/>
    </row>
    <row r="44">
      <c r="A44" s="9" t="inlineStr">
        <is>
          <t>卖出净收入(元)</t>
        </is>
      </c>
      <c r="B44" s="6">
        <f>B34+B35+B36+B37-B43</f>
        <v/>
      </c>
      <c r="C44" s="6">
        <f>C34+C35+C36+C37-C43</f>
        <v/>
      </c>
      <c r="D44" s="6">
        <f>D34+D35+D36+D37-D43</f>
        <v/>
      </c>
      <c r="E44" s="2" t="n"/>
    </row>
    <row r="45">
      <c r="A45" s="2" t="n"/>
      <c r="B45" s="2" t="n"/>
      <c r="C45" s="2" t="n"/>
      <c r="D45" s="2" t="n"/>
      <c r="E45" s="2" t="n"/>
    </row>
    <row r="46">
      <c r="A46" s="4" t="inlineStr">
        <is>
          <t>三、成交后剩余持仓与现金</t>
        </is>
      </c>
      <c r="B46" s="4" t="n"/>
      <c r="C46" s="4" t="n"/>
      <c r="D46" s="4" t="n"/>
      <c r="E46" s="4" t="n"/>
    </row>
    <row r="47">
      <c r="A47" s="5" t="inlineStr">
        <is>
          <t>项目</t>
        </is>
      </c>
      <c r="B47" s="5" t="inlineStr">
        <is>
          <t>未调整</t>
        </is>
      </c>
      <c r="C47" s="5" t="inlineStr">
        <is>
          <t>方案A</t>
        </is>
      </c>
      <c r="D47" s="5" t="inlineStr">
        <is>
          <t>方案B</t>
        </is>
      </c>
      <c r="E47" s="5" t="inlineStr">
        <is>
          <t>说明</t>
        </is>
      </c>
    </row>
    <row r="48">
      <c r="A48" s="2" t="inlineStr">
        <is>
          <t>EQ01 剩余数量</t>
        </is>
      </c>
      <c r="B48" s="7">
        <f>$B$10-B29</f>
        <v/>
      </c>
      <c r="C48" s="7">
        <f>$B$10-C29</f>
        <v/>
      </c>
      <c r="D48" s="7">
        <f>$B$10-D29</f>
        <v/>
      </c>
      <c r="E48" s="2" t="n"/>
    </row>
    <row r="49">
      <c r="A49" s="2" t="inlineStr">
        <is>
          <t>EQ02 剩余数量</t>
        </is>
      </c>
      <c r="B49" s="7">
        <f>$B$11-B30</f>
        <v/>
      </c>
      <c r="C49" s="7">
        <f>$B$11-C30</f>
        <v/>
      </c>
      <c r="D49" s="7">
        <f>$B$11-D30</f>
        <v/>
      </c>
      <c r="E49" s="2" t="n"/>
    </row>
    <row r="50">
      <c r="A50" s="2" t="inlineStr">
        <is>
          <t>EQ03 剩余数量</t>
        </is>
      </c>
      <c r="B50" s="7">
        <f>$B$14-B31</f>
        <v/>
      </c>
      <c r="C50" s="7">
        <f>$B$14-C31</f>
        <v/>
      </c>
      <c r="D50" s="7">
        <f>$B$14-D31</f>
        <v/>
      </c>
      <c r="E50" s="2" t="n"/>
    </row>
    <row r="51">
      <c r="A51" s="2" t="inlineStr">
        <is>
          <t>ETF01 剩余数量</t>
        </is>
      </c>
      <c r="B51" s="7">
        <f>$B$15-B32</f>
        <v/>
      </c>
      <c r="C51" s="7">
        <f>$B$15-C32</f>
        <v/>
      </c>
      <c r="D51" s="7">
        <f>$B$15-D32</f>
        <v/>
      </c>
      <c r="E51" s="2" t="n"/>
    </row>
    <row r="52">
      <c r="A52" s="2" t="inlineStr">
        <is>
          <t>EQ01 剩余市值(元)</t>
        </is>
      </c>
      <c r="B52" s="6">
        <f>B48*$B$6</f>
        <v/>
      </c>
      <c r="C52" s="6">
        <f>C48*$B$6</f>
        <v/>
      </c>
      <c r="D52" s="6">
        <f>D48*$B$6</f>
        <v/>
      </c>
      <c r="E52" s="2" t="n"/>
    </row>
    <row r="53">
      <c r="A53" s="2" t="inlineStr">
        <is>
          <t>EQ02 剩余市值(元)</t>
        </is>
      </c>
      <c r="B53" s="6">
        <f>B49*$B$7</f>
        <v/>
      </c>
      <c r="C53" s="6">
        <f>C49*$B$7</f>
        <v/>
      </c>
      <c r="D53" s="6">
        <f>D49*$B$7</f>
        <v/>
      </c>
      <c r="E53" s="2" t="n"/>
    </row>
    <row r="54">
      <c r="A54" s="2" t="inlineStr">
        <is>
          <t>EQ03 剩余市值(元)</t>
        </is>
      </c>
      <c r="B54" s="6">
        <f>B50*$B$8</f>
        <v/>
      </c>
      <c r="C54" s="6">
        <f>C50*$B$8</f>
        <v/>
      </c>
      <c r="D54" s="6">
        <f>D50*$B$8</f>
        <v/>
      </c>
      <c r="E54" s="2" t="n"/>
    </row>
    <row r="55">
      <c r="A55" s="2" t="inlineStr">
        <is>
          <t>ETF01 剩余市值(元)</t>
        </is>
      </c>
      <c r="B55" s="6">
        <f>B51*$B$9</f>
        <v/>
      </c>
      <c r="C55" s="6">
        <f>C51*$B$9</f>
        <v/>
      </c>
      <c r="D55" s="6">
        <f>D51*$B$9</f>
        <v/>
      </c>
      <c r="E55" s="2" t="n"/>
    </row>
    <row r="56">
      <c r="A56" s="9" t="inlineStr">
        <is>
          <t>成交后现金(元)</t>
        </is>
      </c>
      <c r="B56" s="6">
        <f>$B$5+B44</f>
        <v/>
      </c>
      <c r="C56" s="6">
        <f>$B$5+C44</f>
        <v/>
      </c>
      <c r="D56" s="6">
        <f>$B$5+D44</f>
        <v/>
      </c>
      <c r="E56" s="2" t="n"/>
    </row>
    <row r="57">
      <c r="A57" s="9" t="inlineStr">
        <is>
          <t>成交后净资产(元)</t>
        </is>
      </c>
      <c r="B57" s="6">
        <f>B56+B52+B53+B54+B55</f>
        <v/>
      </c>
      <c r="C57" s="6">
        <f>C56+C52+C53+C54+C55</f>
        <v/>
      </c>
      <c r="D57" s="6">
        <f>D56+D52+D53+D54+D55</f>
        <v/>
      </c>
      <c r="E57" s="2" t="inlineStr">
        <is>
          <t>现金 + 剩余证券市值（已扣卖出费用）</t>
        </is>
      </c>
    </row>
    <row r="58">
      <c r="A58" s="2" t="n"/>
      <c r="B58" s="2" t="n"/>
      <c r="C58" s="2" t="n"/>
      <c r="D58" s="2" t="n"/>
      <c r="E58" s="2" t="n"/>
    </row>
    <row r="59">
      <c r="A59" s="4" t="inlineStr">
        <is>
          <t>四、成交后权重（分母=成交后净资产）</t>
        </is>
      </c>
      <c r="B59" s="4" t="n"/>
      <c r="C59" s="4" t="n"/>
      <c r="D59" s="4" t="n"/>
      <c r="E59" s="4" t="n"/>
    </row>
    <row r="60">
      <c r="A60" s="5" t="inlineStr">
        <is>
          <t>项目</t>
        </is>
      </c>
      <c r="B60" s="5" t="inlineStr">
        <is>
          <t>未调整</t>
        </is>
      </c>
      <c r="C60" s="5" t="inlineStr">
        <is>
          <t>方案A</t>
        </is>
      </c>
      <c r="D60" s="5" t="inlineStr">
        <is>
          <t>方案B</t>
        </is>
      </c>
      <c r="E60" s="5" t="inlineStr">
        <is>
          <t>说明</t>
        </is>
      </c>
    </row>
    <row r="61">
      <c r="A61" s="2" t="inlineStr">
        <is>
          <t>EQ01 权重</t>
        </is>
      </c>
      <c r="B61" s="14">
        <f>B52/B57</f>
        <v/>
      </c>
      <c r="C61" s="14">
        <f>C52/C57</f>
        <v/>
      </c>
      <c r="D61" s="14">
        <f>D52/D57</f>
        <v/>
      </c>
      <c r="E61" s="2" t="n"/>
    </row>
    <row r="62">
      <c r="A62" s="2" t="inlineStr">
        <is>
          <t>EQ02 权重</t>
        </is>
      </c>
      <c r="B62" s="14">
        <f>B53/B57</f>
        <v/>
      </c>
      <c r="C62" s="14">
        <f>C53/C57</f>
        <v/>
      </c>
      <c r="D62" s="14">
        <f>D53/D57</f>
        <v/>
      </c>
      <c r="E62" s="2" t="n"/>
    </row>
    <row r="63">
      <c r="A63" s="2" t="inlineStr">
        <is>
          <t>EQ03 权重</t>
        </is>
      </c>
      <c r="B63" s="14">
        <f>B54/B57</f>
        <v/>
      </c>
      <c r="C63" s="14">
        <f>C54/C57</f>
        <v/>
      </c>
      <c r="D63" s="14">
        <f>D54/D57</f>
        <v/>
      </c>
      <c r="E63" s="2" t="n"/>
    </row>
    <row r="64">
      <c r="A64" s="2" t="inlineStr">
        <is>
          <t>ETF01 权重</t>
        </is>
      </c>
      <c r="B64" s="14">
        <f>B55/B57</f>
        <v/>
      </c>
      <c r="C64" s="14">
        <f>C55/C57</f>
        <v/>
      </c>
      <c r="D64" s="14">
        <f>D55/D57</f>
        <v/>
      </c>
      <c r="E64" s="2" t="n"/>
    </row>
    <row r="65">
      <c r="A65" s="2" t="inlineStr">
        <is>
          <t>现金权重</t>
        </is>
      </c>
      <c r="B65" s="14">
        <f>B56/B57</f>
        <v/>
      </c>
      <c r="C65" s="14">
        <f>C56/C57</f>
        <v/>
      </c>
      <c r="D65" s="14">
        <f>D56/D57</f>
        <v/>
      </c>
      <c r="E65" s="2" t="n"/>
    </row>
    <row r="66">
      <c r="A66" s="9" t="inlineStr">
        <is>
          <t>新能源合计权重(光伏+电池)</t>
        </is>
      </c>
      <c r="B66" s="14">
        <f>B61+B62</f>
        <v/>
      </c>
      <c r="C66" s="14">
        <f>C61+C62</f>
        <v/>
      </c>
      <c r="D66" s="14">
        <f>D61+D62</f>
        <v/>
      </c>
      <c r="E66" s="2" t="n"/>
    </row>
    <row r="67">
      <c r="A67" s="9" t="inlineStr">
        <is>
          <t>单股最大权重</t>
        </is>
      </c>
      <c r="B67" s="14">
        <f>MAX(B61,B62,B63,B64)</f>
        <v/>
      </c>
      <c r="C67" s="14">
        <f>MAX(C61,C62,C63,C64)</f>
        <v/>
      </c>
      <c r="D67" s="14">
        <f>MAX(D61,D62,D63,D64)</f>
        <v/>
      </c>
      <c r="E67" s="2" t="n"/>
    </row>
    <row r="68">
      <c r="A68" s="2" t="n"/>
      <c r="B68" s="2" t="n"/>
      <c r="C68" s="2" t="n"/>
      <c r="D68" s="2" t="n"/>
      <c r="E68" s="2" t="n"/>
    </row>
    <row r="69">
      <c r="A69" s="4" t="inlineStr">
        <is>
          <t>五、联动情景损失测算（分母=扣除卖出费用后的净资产；现金不受冲击）</t>
        </is>
      </c>
      <c r="B69" s="4" t="n"/>
      <c r="C69" s="4" t="n"/>
      <c r="D69" s="4" t="n"/>
      <c r="E69" s="4" t="n"/>
    </row>
    <row r="70">
      <c r="A70" s="5" t="inlineStr">
        <is>
          <t>项目</t>
        </is>
      </c>
      <c r="B70" s="5" t="inlineStr">
        <is>
          <t>未调整</t>
        </is>
      </c>
      <c r="C70" s="5" t="inlineStr">
        <is>
          <t>方案A</t>
        </is>
      </c>
      <c r="D70" s="5" t="inlineStr">
        <is>
          <t>方案B</t>
        </is>
      </c>
      <c r="E70" s="5" t="inlineStr">
        <is>
          <t>说明</t>
        </is>
      </c>
    </row>
    <row r="71">
      <c r="A71" s="2" t="inlineStr">
        <is>
          <t>EQ01 冲击损失(元)</t>
        </is>
      </c>
      <c r="B71" s="6">
        <f>B52*$B$19</f>
        <v/>
      </c>
      <c r="C71" s="6">
        <f>C52*$B$19</f>
        <v/>
      </c>
      <c r="D71" s="6">
        <f>D52*$B$19</f>
        <v/>
      </c>
      <c r="E71" s="2" t="n"/>
    </row>
    <row r="72">
      <c r="A72" s="2" t="inlineStr">
        <is>
          <t>EQ02 冲击损失(元)</t>
        </is>
      </c>
      <c r="B72" s="6">
        <f>B53*$B$19</f>
        <v/>
      </c>
      <c r="C72" s="6">
        <f>C53*$B$19</f>
        <v/>
      </c>
      <c r="D72" s="6">
        <f>D53*$B$19</f>
        <v/>
      </c>
      <c r="E72" s="2" t="n"/>
    </row>
    <row r="73">
      <c r="A73" s="2" t="inlineStr">
        <is>
          <t>EQ03 冲击损失(元)</t>
        </is>
      </c>
      <c r="B73" s="6">
        <f>B54*$B$20</f>
        <v/>
      </c>
      <c r="C73" s="6">
        <f>C54*$B$20</f>
        <v/>
      </c>
      <c r="D73" s="6">
        <f>D54*$B$20</f>
        <v/>
      </c>
      <c r="E73" s="2" t="n"/>
    </row>
    <row r="74">
      <c r="A74" s="2" t="inlineStr">
        <is>
          <t>ETF01 冲击损失(元)</t>
        </is>
      </c>
      <c r="B74" s="6">
        <f>B55*$B$21</f>
        <v/>
      </c>
      <c r="C74" s="6">
        <f>C55*$B$21</f>
        <v/>
      </c>
      <c r="D74" s="6">
        <f>D55*$B$21</f>
        <v/>
      </c>
      <c r="E74" s="2" t="n"/>
    </row>
    <row r="75">
      <c r="A75" s="9" t="inlineStr">
        <is>
          <t>冲击损失合计(元)</t>
        </is>
      </c>
      <c r="B75" s="6">
        <f>B71+B72+B73+B74</f>
        <v/>
      </c>
      <c r="C75" s="6">
        <f>C71+C72+C73+C74</f>
        <v/>
      </c>
      <c r="D75" s="6">
        <f>D71+D72+D73+D74</f>
        <v/>
      </c>
      <c r="E75" s="2" t="n"/>
    </row>
    <row r="76">
      <c r="A76" s="9" t="inlineStr">
        <is>
          <t>联动损失率</t>
        </is>
      </c>
      <c r="B76" s="14">
        <f>B75/B57</f>
        <v/>
      </c>
      <c r="C76" s="14">
        <f>C75/C57</f>
        <v/>
      </c>
      <c r="D76" s="14">
        <f>D75/D57</f>
        <v/>
      </c>
      <c r="E76" s="2" t="inlineStr">
        <is>
          <t>冲击损失合计 ÷ 成交后净资产</t>
        </is>
      </c>
    </row>
    <row r="77">
      <c r="A77" s="2" t="n"/>
      <c r="B77" s="2" t="n"/>
      <c r="C77" s="2" t="n"/>
      <c r="D77" s="2" t="n"/>
      <c r="E77" s="2" t="n"/>
    </row>
    <row r="78">
      <c r="A78" s="4" t="inlineStr">
        <is>
          <t>六、四项约束同时校验</t>
        </is>
      </c>
      <c r="B78" s="4" t="n"/>
      <c r="C78" s="4" t="n"/>
      <c r="D78" s="4" t="n"/>
      <c r="E78" s="4" t="n"/>
    </row>
    <row r="79">
      <c r="A79" s="5" t="inlineStr">
        <is>
          <t>约束</t>
        </is>
      </c>
      <c r="B79" s="5" t="inlineStr">
        <is>
          <t>未调整</t>
        </is>
      </c>
      <c r="C79" s="5" t="inlineStr">
        <is>
          <t>方案A</t>
        </is>
      </c>
      <c r="D79" s="5" t="inlineStr">
        <is>
          <t>方案B</t>
        </is>
      </c>
      <c r="E79" s="5" t="inlineStr">
        <is>
          <t>阈值</t>
        </is>
      </c>
    </row>
    <row r="80">
      <c r="A80" s="2" t="inlineStr">
        <is>
          <t>单股≤25%</t>
        </is>
      </c>
      <c r="B80" s="2">
        <f>IF(B67&lt;=$B$22,"满足","违反")</f>
        <v/>
      </c>
      <c r="C80" s="2">
        <f>IF(C67&lt;=$B$22,"满足","违反")</f>
        <v/>
      </c>
      <c r="D80" s="2">
        <f>IF(D67&lt;=$B$22,"满足","违反")</f>
        <v/>
      </c>
      <c r="E80" s="14">
        <f>$B$22</f>
        <v/>
      </c>
    </row>
    <row r="81">
      <c r="A81" s="2" t="inlineStr">
        <is>
          <t>新能源合计≤45%</t>
        </is>
      </c>
      <c r="B81" s="2">
        <f>IF(B66&lt;=$B$23,"满足","违反")</f>
        <v/>
      </c>
      <c r="C81" s="2">
        <f>IF(C66&lt;=$B$23,"满足","违反")</f>
        <v/>
      </c>
      <c r="D81" s="2">
        <f>IF(D66&lt;=$B$23,"满足","违反")</f>
        <v/>
      </c>
      <c r="E81" s="14">
        <f>$B$23</f>
        <v/>
      </c>
    </row>
    <row r="82">
      <c r="A82" s="2" t="inlineStr">
        <is>
          <t>现金≥300,000</t>
        </is>
      </c>
      <c r="B82" s="2">
        <f>IF(B56&gt;=$B$24,"满足","违反")</f>
        <v/>
      </c>
      <c r="C82" s="2">
        <f>IF(C56&gt;=$B$24,"满足","违反")</f>
        <v/>
      </c>
      <c r="D82" s="2">
        <f>IF(D56&gt;=$B$24,"满足","违反")</f>
        <v/>
      </c>
      <c r="E82" s="6">
        <f>$B$24</f>
        <v/>
      </c>
    </row>
    <row r="83">
      <c r="A83" s="2" t="inlineStr">
        <is>
          <t>联动损失≤12%</t>
        </is>
      </c>
      <c r="B83" s="2">
        <f>IF(B76&lt;=$B$25,"满足","违反")</f>
        <v/>
      </c>
      <c r="C83" s="2">
        <f>IF(C76&lt;=$B$25,"满足","违反")</f>
        <v/>
      </c>
      <c r="D83" s="2">
        <f>IF(D76&lt;=$B$25,"满足","违反")</f>
        <v/>
      </c>
      <c r="E83" s="14">
        <f>$B$25</f>
        <v/>
      </c>
    </row>
    <row r="84">
      <c r="A84" s="9" t="inlineStr">
        <is>
          <t>四项同时满足？</t>
        </is>
      </c>
      <c r="B84" s="9">
        <f>IF(AND(B80="满足",B81="满足",B82="满足",B83="满足"),"全部满足","存在违反")</f>
        <v/>
      </c>
      <c r="C84" s="9">
        <f>IF(AND(C80="满足",C81="满足",C82="满足",C83="满足"),"全部满足","存在违反")</f>
        <v/>
      </c>
      <c r="D84" s="9">
        <f>IF(AND(D80="满足",D81="满足",D82="满足",D83="满足"),"全部满足","存在违反")</f>
        <v/>
      </c>
      <c r="E84" s="2" t="n"/>
    </row>
    <row r="85">
      <c r="A85" s="2" t="n"/>
      <c r="B85" s="2" t="n"/>
      <c r="C85" s="2" t="n"/>
      <c r="D85" s="2" t="n"/>
      <c r="E85" s="2" t="n"/>
    </row>
    <row r="86">
      <c r="A86" s="4" t="inlineStr">
        <is>
          <t>七、若客户坚持保留全部电池股（EQ02卖出=0）的约束分析</t>
        </is>
      </c>
      <c r="B86" s="4" t="n"/>
      <c r="C86" s="4" t="n"/>
      <c r="D86" s="4" t="n"/>
      <c r="E86" s="4" t="n"/>
    </row>
    <row r="87">
      <c r="A87" s="5" t="inlineStr">
        <is>
          <t>分析项</t>
        </is>
      </c>
      <c r="B87" s="5" t="inlineStr">
        <is>
          <t>结论</t>
        </is>
      </c>
      <c r="C87" s="5" t="inlineStr">
        <is>
          <t>量化说明</t>
        </is>
      </c>
      <c r="D87" s="2" t="n"/>
      <c r="E87" s="2" t="n"/>
    </row>
    <row r="88" ht="55" customHeight="1">
      <c r="A88" s="2" t="inlineStr">
        <is>
          <t>EQ02单股权重</t>
        </is>
      </c>
      <c r="B88" s="22" t="inlineStr">
        <is>
          <t>必然违反25%</t>
        </is>
      </c>
      <c r="C88" s="13" t="inlineStr">
        <is>
          <t>EQ02剩余20,000股×30=600,000元；即使卖光其他全部证券，净资产最大≈230,000+600,000+卖出净收入，但EQ02市值/净资产始终≥600,000/(230,000+600,000+其他卖出收入)。卖光EQ03+ETF后净资产≈1,989,652，EQ02权重=600,000/1,989,652=30.16%&gt;25%。</t>
        </is>
      </c>
      <c r="D88" s="2" t="n"/>
      <c r="E88" s="2" t="n"/>
    </row>
    <row r="89" ht="55" customHeight="1">
      <c r="A89" s="2" t="inlineStr">
        <is>
          <t>新能源合计权重</t>
        </is>
      </c>
      <c r="B89" s="22" t="inlineStr">
        <is>
          <t>必然违反45%</t>
        </is>
      </c>
      <c r="C89" s="13" t="inlineStr">
        <is>
          <t>保留全部电池+至少部分光伏，新能源市值≥600,000元；卖光EQ03+ETF后新能源=1,100,000/1,989,652=55.29%&gt;45%。即使卖光全部光伏，新能源=600,000，净资产下降，权重仍可能超45%。</t>
        </is>
      </c>
      <c r="D89" s="2" t="n"/>
      <c r="E89" s="2" t="n"/>
    </row>
    <row r="90" ht="55" customHeight="1">
      <c r="A90" s="2" t="inlineStr">
        <is>
          <t>联动损失率</t>
        </is>
      </c>
      <c r="B90" s="22" t="inlineStr">
        <is>
          <t>必然违反12%</t>
        </is>
      </c>
      <c r="C90" s="13" t="inlineStr">
        <is>
          <t>电池600,000×25%=150,000为固定损失底；加光伏至少500,000×25%=125,000，合计275,000/1,989,652=13.82%&gt;12%。卖光光伏后仅电池损失150,000，但净资产也下降，需具体测算。</t>
        </is>
      </c>
      <c r="D90" s="2" t="n"/>
      <c r="E90" s="2" t="n"/>
    </row>
    <row r="91" ht="55" customHeight="1">
      <c r="A91" s="2" t="inlineStr">
        <is>
          <t>现金约束</t>
        </is>
      </c>
      <c r="B91" s="23" t="inlineStr">
        <is>
          <t>可满足</t>
        </is>
      </c>
      <c r="C91" s="13" t="inlineStr">
        <is>
          <t>卖出EQ03+ETF后现金≈889,652≥300,000，此项可满足。</t>
        </is>
      </c>
      <c r="D91" s="2" t="n"/>
      <c r="E91" s="2" t="n"/>
    </row>
    <row r="92" ht="55" customHeight="1">
      <c r="A92" s="2" t="inlineStr">
        <is>
          <t>至少需放松的条件</t>
        </is>
      </c>
      <c r="B92" s="9" t="inlineStr">
        <is>
          <t>需放松单股25%或允许卖出部分电池</t>
        </is>
      </c>
      <c r="C92" s="13" t="inlineStr">
        <is>
          <t>若坚持零电池卖出，必须将EQ02单股上限从25%提高至约30.2%以上，同时新能源合计上限从45%提高至约55.3%以上，联动损失上限从12%提高至约13.8%以上。三项风险预算同时放宽后，组合在联动情景下的潜在损失将显著增加。不建议默许提高风险预算。</t>
        </is>
      </c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4" t="inlineStr">
        <is>
          <t>八、下一交易日（9月9日）情景：新能源先跌5%，再施加联动冲击</t>
        </is>
      </c>
      <c r="B94" s="4" t="n"/>
      <c r="C94" s="4" t="n"/>
      <c r="D94" s="4" t="n"/>
      <c r="E94" s="4" t="n"/>
    </row>
    <row r="95" ht="40" customHeight="1">
      <c r="A95" s="13" t="inlineStr">
        <is>
          <t>口径：以今日调整后剩余持仓为起点；其他价格不变；先计入新能源-5%，以此时（未追加交易、未施加联动冲击）的持仓市值+现金为新分母；再按附件相同联动冲击计算增量损失。今日已扣费用不再扣。</t>
        </is>
      </c>
      <c r="B95" s="2" t="n"/>
      <c r="C95" s="2" t="n"/>
      <c r="D95" s="2" t="n"/>
      <c r="E95" s="2" t="n"/>
    </row>
    <row r="96">
      <c r="A96" s="5" t="inlineStr">
        <is>
          <t>项目</t>
        </is>
      </c>
      <c r="B96" s="5" t="inlineStr">
        <is>
          <t>未调整</t>
        </is>
      </c>
      <c r="C96" s="5" t="inlineStr">
        <is>
          <t>方案A</t>
        </is>
      </c>
      <c r="D96" s="5" t="inlineStr">
        <is>
          <t>方案B</t>
        </is>
      </c>
      <c r="E96" s="5" t="inlineStr">
        <is>
          <t>说明</t>
        </is>
      </c>
    </row>
    <row r="97">
      <c r="A97" s="2" t="inlineStr">
        <is>
          <t>EQ01 跌5%后市值(元)</t>
        </is>
      </c>
      <c r="B97" s="6">
        <f>B52*0.95</f>
        <v/>
      </c>
      <c r="C97" s="6">
        <f>C52*0.95</f>
        <v/>
      </c>
      <c r="D97" s="6">
        <f>D52*0.95</f>
        <v/>
      </c>
      <c r="E97" s="2" t="n"/>
    </row>
    <row r="98">
      <c r="A98" s="2" t="inlineStr">
        <is>
          <t>EQ02 跌5%后市值(元)</t>
        </is>
      </c>
      <c r="B98" s="6">
        <f>B53*0.95</f>
        <v/>
      </c>
      <c r="C98" s="6">
        <f>C53*0.95</f>
        <v/>
      </c>
      <c r="D98" s="6">
        <f>D53*0.95</f>
        <v/>
      </c>
      <c r="E98" s="2" t="n"/>
    </row>
    <row r="99">
      <c r="A99" s="2" t="inlineStr">
        <is>
          <t>EQ03 市值(元,不变)</t>
        </is>
      </c>
      <c r="B99" s="6">
        <f>B54</f>
        <v/>
      </c>
      <c r="C99" s="6">
        <f>C54</f>
        <v/>
      </c>
      <c r="D99" s="6">
        <f>D54</f>
        <v/>
      </c>
      <c r="E99" s="2" t="n"/>
    </row>
    <row r="100">
      <c r="A100" s="2" t="inlineStr">
        <is>
          <t>ETF01 市值(元,不变)</t>
        </is>
      </c>
      <c r="B100" s="6">
        <f>B55</f>
        <v/>
      </c>
      <c r="C100" s="6">
        <f>C55</f>
        <v/>
      </c>
      <c r="D100" s="6">
        <f>D55</f>
        <v/>
      </c>
      <c r="E100" s="2" t="n"/>
    </row>
    <row r="101">
      <c r="A101" s="2" t="inlineStr">
        <is>
          <t>现金(元,不变)</t>
        </is>
      </c>
      <c r="B101" s="6">
        <f>B56</f>
        <v/>
      </c>
      <c r="C101" s="6">
        <f>C56</f>
        <v/>
      </c>
      <c r="D101" s="6">
        <f>D56</f>
        <v/>
      </c>
      <c r="E101" s="2" t="n"/>
    </row>
    <row r="102">
      <c r="A102" s="9" t="inlineStr">
        <is>
          <t>新分母：跌5%后净资产(元)</t>
        </is>
      </c>
      <c r="B102" s="6">
        <f>B97+B98+B99+B100+B101</f>
        <v/>
      </c>
      <c r="C102" s="6">
        <f>C97+C98+C99+C100+C101</f>
        <v/>
      </c>
      <c r="D102" s="6">
        <f>D97+D98+D99+D100+D101</f>
        <v/>
      </c>
      <c r="E102" s="2" t="n"/>
    </row>
    <row r="103">
      <c r="A103" s="9" t="inlineStr">
        <is>
          <t>联动冲击增量损失(元)</t>
        </is>
      </c>
      <c r="B103" s="6">
        <f>B97*$B$19+B98*$B$19+B99*$B$20+B100*$B$21</f>
        <v/>
      </c>
      <c r="C103" s="6">
        <f>C97*$B$19+C98*$B$19+C99*$B$20+C100*$B$21</f>
        <v/>
      </c>
      <c r="D103" s="6">
        <f>D97*$B$19+D98*$B$19+D99*$B$20+D100*$B$21</f>
        <v/>
      </c>
      <c r="E103" s="2" t="n"/>
    </row>
    <row r="104">
      <c r="A104" s="9" t="inlineStr">
        <is>
          <t>增量损失率(÷新分母)</t>
        </is>
      </c>
      <c r="B104" s="14">
        <f>B103/B102</f>
        <v/>
      </c>
      <c r="C104" s="14">
        <f>C103/C102</f>
        <v/>
      </c>
      <c r="D104" s="14">
        <f>D103/D102</f>
        <v/>
      </c>
      <c r="E104" s="2" t="n"/>
    </row>
    <row r="105">
      <c r="A105" s="2" t="inlineStr">
        <is>
          <t>是否≤12%？</t>
        </is>
      </c>
      <c r="B105" s="2">
        <f>IF(B104&lt;=$B$25,"满足","违反")</f>
        <v/>
      </c>
      <c r="C105" s="2">
        <f>IF(C104&lt;=$B$25,"满足","违反")</f>
        <v/>
      </c>
      <c r="D105" s="2">
        <f>IF(D104&lt;=$B$25,"满足","违反")</f>
        <v/>
      </c>
      <c r="E105" s="2" t="n"/>
    </row>
    <row r="106">
      <c r="A106" s="2" t="n"/>
      <c r="B106" s="2" t="n"/>
      <c r="C106" s="2" t="n"/>
      <c r="D106" s="2" t="n"/>
      <c r="E106" s="2" t="n"/>
    </row>
    <row r="107">
      <c r="A107" s="4" t="inlineStr">
        <is>
          <t>九、条件执行计划（今日与下一交易日分开）</t>
        </is>
      </c>
      <c r="B107" s="4" t="n"/>
      <c r="C107" s="4" t="n"/>
      <c r="D107" s="4" t="n"/>
      <c r="E107" s="4" t="n"/>
    </row>
    <row r="108">
      <c r="A108" s="24" t="inlineStr">
        <is>
          <t>【今日 9月8日】报价与可卖数正常</t>
        </is>
      </c>
      <c r="B108" s="2" t="n"/>
      <c r="C108" s="2" t="n"/>
      <c r="D108" s="2" t="n"/>
      <c r="E108" s="2" t="n"/>
    </row>
    <row r="109" ht="80" customHeight="1">
      <c r="A109" s="13" t="inlineStr">
        <is>
          <t>若 14:30后至收盘前，EQ01买一价≥24.5元且EQ02买一价≥29.5元，且EQ01可卖≥12,000股、EQ02历史批次可卖≥4,000股（未停牌、未跌停），则：
① 挂单卖出EQ01 12,000股（方案B），参考价25元，可接受区间24.5-25.5元；
② 挂单卖出EQ02历史批次4,000股，参考价30元，可接受区间29.5-30.5元；
③ 今日买入的EQ02 4,000股不得卖出；
④ 成交后核对现金≥649,000元，四项约束全部满足。</t>
        </is>
      </c>
      <c r="B109" s="2" t="n"/>
      <c r="C109" s="2" t="n"/>
      <c r="D109" s="2" t="n"/>
      <c r="E109" s="2" t="n"/>
    </row>
    <row r="110">
      <c r="A110" s="24" t="inlineStr">
        <is>
          <t>【今日 9月8日】部分未成交</t>
        </is>
      </c>
      <c r="B110" s="2" t="n"/>
      <c r="C110" s="2" t="n"/>
      <c r="D110" s="2" t="n"/>
      <c r="E110" s="2" t="n"/>
    </row>
    <row r="111" ht="80" customHeight="1">
      <c r="A111" s="13" t="inlineStr">
        <is>
          <t>若 收盘前EQ01或EQ02挂单未全部成交，则：
① 记录已成交数量与均价；
② 以实际成交后持仓重新计算四项约束；
③ 若单股或新能源约束仍违反，下一交易日开盘后继续卖出剩余计划量；
④ 不得因未成交而追高买入或扩大卖出范围。</t>
        </is>
      </c>
      <c r="B111" s="2" t="n"/>
      <c r="C111" s="2" t="n"/>
      <c r="D111" s="2" t="n"/>
      <c r="E111" s="2" t="n"/>
    </row>
    <row r="112">
      <c r="A112" s="24" t="inlineStr">
        <is>
          <t>【今日 9月8日】跌停或停牌</t>
        </is>
      </c>
      <c r="B112" s="2" t="n"/>
      <c r="C112" s="2" t="n"/>
      <c r="D112" s="2" t="n"/>
      <c r="E112" s="2" t="n"/>
    </row>
    <row r="113" ht="96" customHeight="1">
      <c r="A113" s="13" t="inlineStr">
        <is>
          <t>若 EQ01或EQ02触及跌停板或临时停牌无法卖出，则：
① 该品种今日卖出计划暂停，不得在跌停板上盲目挂单；
② 可卖出品种按计划执行；
③ 以实际可成交结果重新核对约束，记录违反项；
④ 下一交易日开盘前重新评估，若仍违反约束则优先卖出可成交品种；
⑤ 向客户说明：跌停导致无法按计划减仓，风险敞口暂时高于预算，需待流动性恢复后执行。</t>
        </is>
      </c>
      <c r="B113" s="2" t="n"/>
      <c r="C113" s="2" t="n"/>
      <c r="D113" s="2" t="n"/>
      <c r="E113" s="2" t="n"/>
    </row>
    <row r="114">
      <c r="A114" s="24" t="inlineStr">
        <is>
          <t>【下一交易日 9月9日】开盘前核对</t>
        </is>
      </c>
      <c r="B114" s="2" t="n"/>
      <c r="C114" s="2" t="n"/>
      <c r="D114" s="2" t="n"/>
      <c r="E114" s="2" t="n"/>
    </row>
    <row r="115" ht="80" customHeight="1">
      <c r="A115" s="13" t="inlineStr">
        <is>
          <t>若 9月9日开盘前，则：
① 核对EQ02今日买入的4,000股已变为可卖（T+1）；
② 核对各品种开盘价、可卖数量、涨跌停状态；
③ 若今日计划已全部成交且四项约束满足，无需追加交易，仅做监控；
④ 若今日有未成交或跌停，按剩余计划继续执行。</t>
        </is>
      </c>
      <c r="B115" s="2" t="n"/>
      <c r="C115" s="2" t="n"/>
      <c r="D115" s="2" t="n"/>
      <c r="E115" s="2" t="n"/>
    </row>
    <row r="116">
      <c r="A116" s="24" t="inlineStr">
        <is>
          <t>【下一交易日 9月9日】新能源继续下跌5%</t>
        </is>
      </c>
      <c r="B116" s="2" t="n"/>
      <c r="C116" s="2" t="n"/>
      <c r="D116" s="2" t="n"/>
      <c r="E116" s="2" t="n"/>
    </row>
    <row r="117" ht="80" customHeight="1">
      <c r="A117" s="13" t="inlineStr">
        <is>
          <t>若 9月9日光伏/电池开盘或盘中较今日14:30价下跌≥5%（EQ01≤23.75元，EQ02≤28.5元），且今日已按方案B成交，则：
① 以跌5%后持仓重新计算联动损失率（见第八节），方案B仍≤12%，无需强制追加卖出；
② 但若客户坚持方案A（只卖盈利），跌5%后联动损失率约13.5%&gt;12%，必须追加卖出新能源；
③ 追加卖出前先按附件标准扣除新增交易费用，再用追加交易后、联动冲击前的净资产作分母重新校验；
④ 若下跌超过5%或出现其他品种联动下跌，重新全量测算四项约束，必要时进一步减仓。</t>
        </is>
      </c>
      <c r="B117" s="2" t="n"/>
      <c r="C117" s="2" t="n"/>
      <c r="D117" s="2" t="n"/>
      <c r="E117" s="2" t="n"/>
    </row>
    <row r="118">
      <c r="A118" s="24" t="inlineStr">
        <is>
          <t>【下一交易日 9月9日】方案A客户坚持后的追加</t>
        </is>
      </c>
      <c r="B118" s="2" t="n"/>
      <c r="C118" s="2" t="n"/>
      <c r="D118" s="2" t="n"/>
      <c r="E118" s="2" t="n"/>
    </row>
    <row r="119" ht="80" customHeight="1">
      <c r="A119" s="13" t="inlineStr">
        <is>
          <t>若 客户坚持方案A且今日已仅卖出盈利品种，9月9日新能源下跌5%后联动损失违反，则：
① 追加卖出EQ01或EQ02（此时今日买入批次已可卖），优先卖出EQ01以降低单股与新能源权重；
② 追加卖出量需使重新计算后的联动损失率≤12%；
③ 追加交易费用按股票0.08%扣除，分母为追加交易后（扣费用）、联动冲击前的净资产；
④ 向客户明确：这是在初始方案不满足约束后的补救操作，增加了交易成本和市场冲击风险。</t>
        </is>
      </c>
      <c r="B119" s="2" t="n"/>
      <c r="C119" s="2" t="n"/>
      <c r="D119" s="2" t="n"/>
      <c r="E119" s="2" t="n"/>
    </row>
  </sheetData>
  <mergeCells count="20">
    <mergeCell ref="A114:E114"/>
    <mergeCell ref="A1:E1"/>
    <mergeCell ref="C90:E90"/>
    <mergeCell ref="A119:E119"/>
    <mergeCell ref="A110:E110"/>
    <mergeCell ref="A108:E108"/>
    <mergeCell ref="A118:E118"/>
    <mergeCell ref="C91:E91"/>
    <mergeCell ref="A95:E95"/>
    <mergeCell ref="A113:E113"/>
    <mergeCell ref="A2:E2"/>
    <mergeCell ref="A116:E116"/>
    <mergeCell ref="C92:E92"/>
    <mergeCell ref="A109:E109"/>
    <mergeCell ref="C89:E89"/>
    <mergeCell ref="A112:E112"/>
    <mergeCell ref="C88:E88"/>
    <mergeCell ref="A115:E115"/>
    <mergeCell ref="A117:E117"/>
    <mergeCell ref="A111:E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客户沟通说明 — 砻淬资本 2026年9月8日</t>
        </is>
      </c>
    </row>
    <row r="2">
      <c r="A2" s="3" t="inlineStr">
        <is>
          <t>（以下文字可直接用于收盘前与客户沟通，数据口径见「账户核对」与「调整与情景测算」工作表）</t>
        </is>
      </c>
    </row>
    <row r="3">
      <c r="A3" s="2" t="n"/>
    </row>
    <row r="4" ht="1800" customHeight="1">
      <c r="A4" s="13" t="inlineStr">
        <is>
          <t>尊敬的客户：
关于您今天下午提出的"只卖掉赚钱的公用事业股票、把亏损的电池股留着等反弹"的想法，我们在收盘前做了完整的测算和核对，现将结论和建议向您汇报。
一、当前账户状况（9月8日14:30）
经核对13:00汇总页与14:30持仓明细，账户总资产为1,990,000元，其中现金230,000元，证券市值1,760,000元。13:00汇总页显示总资产2,030,000元，差额40,000元来自13:00至14:30间光伏和电池各下跌1元/股（合计-40,000元），汇总页未随报价更新。
各品种浮动盈亏如下：
• 光伏设备（EQ01）：市值500,000元，成本600,000元，浮亏100,000元（-16.7%）
• 电池制造（EQ02，含今日买入4,000股）：市值600,000元，成本682,000元，浮亏82,000元（-12.0%）
• 公用事业（EQ03）：市值300,000元，成本240,000元，浮盈60,000元（+25.0%）
• A股宽基ETF（ETF01）：市值360,000元，成本336,000元，浮盈24,000元（+7.1%）
二、为什么不能只卖盈利品种
您提出的"只卖赚钱的公用事业"方案，我们做了完整测算。即使把所有盈利品种（公用事业+宽基ETF）全部卖出，获得约66万元现金，剩余组合仍然同时违反三项核心约束：
1. 单股集中度：电池股权重仍高达30.2%，超过25%的上限；光伏权重25.1%，也超过25%。
2. 新能源合计敞口：光伏+电池占净资产55.3%，远超45%的上限。
3. 联动情景损失：在光伏和电池同时下跌25%的联动情景下，组合损失率约13.8%，超过12%的风险预算。
根本原因在于：当前组合的风险集中在亏损的新能源品种上。卖出盈利品种虽然锁定了收益，但留下的是风险最高、集中度最高的部分。账面亏损的大小不等于风险的大小——电池股虽然亏损幅度小于光伏，但仓位更重，在联动情景中的绝对损失更大。
如果您坚持完全不卖出电池股，那么至少需要同时放宽三项风险预算：单股上限从25%提至约30%以上、新能源合计上限从45%提至约55%以上、联动损失上限从12%提至约14%以上。这意味着组合在极端情景下的潜在损失将显著增加。我们不能替您默许提高风险预算，需要您明确知悉并同意。
三、建议方案：按组合风险减仓
我们建议采用"按组合风险减仓"的方案，具体操作如下：
• 卖出光伏设备（EQ01）12,000股，参考价25元，成交额约300,000元，费用约240元
• 卖出电池制造（EQ02）历史批次4,000股，参考价30元，成交额约120,000元，费用约96元
• 保留公用事业和宽基ETF全部持仓
• 今日上午买入的电池股4,000股（T+1不可卖）继续保留
成交后预计：
• 现金约649,664元（满足≥300,000元）
• 光伏剩余8,000股，市值200,000元，权重约10.1%
• 电池剩余16,000股（含今日买入），市值480,000元，权重约24.1%
• 新能源合计权重约34.2%（满足≤45%）
• 联动情景损失率约11.9%（满足≤12%）
• 四项约束全部同时满足
这个方案的核心逻辑是：减仓针对的是风险集中度最高的品种，而不是盈亏状态。我们仍然为您保留了16,000股电池敞口（占净资产约24%），体现了您对新能源方向一年期的看法，同时将组合整体风险控制在预算之内。
四、保留敞口与重新评估的触发条件
我们保留电池股16,000股和光伏股8,000股的敞口，基于您对新能源方向的中长期看法。但请您注意，以下任一条件触发时，我们需要重新评估是否进一步减仓：
1. 联动情景损失率重新超过12%：若新能源继续下跌导致权重被动变化，或市场结构变化使冲击参数需要调整，我们将重新测算。
2. 单股权重重新超过25%：若电池股因价格上涨导致权重超过25%，需要考虑部分止盈。
3. 新能源合计权重重新超过45%：若光伏和电池同时反弹导致合计权重回升，需要重新平衡。
4. 现金低于300,000元：若有新增支出或补仓需求导致现金不足，需要优先补充现金。
5. 基本面变化：若电池或光伏行业出现重大政策变化、技术路线颠覆或公司基本面恶化，需重新评估持仓逻辑。
下一交易日（9月9日）我们将在开盘前核对可卖数量和价格。若新能源较今日继续下跌5%，按方案B调整后的组合联动损失率仍约11.7%，在风险预算内，无需强制追加卖出。但若出现超过5%的下跌或其他品种联动下跌，我们将重新全量测算并及时与您沟通。
五、重要提示
• 以上测算基于9月8日14:30买一价，实际成交价可能不同，成交前需复核涨跌停、可卖数及盘口。
• 今日买入的电池股4,000股今日不可卖出，下一交易日才可卖。
• 本方案不构成对未来收益的承诺，不保证回本。新能源方向波动较大，保留敞口意味着继续承担相应风险。
• 所有卖出操作需您确认后执行，我们不代下单。
砻淬资本投资经理
2026年9月8日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2026-09-11T10:06:16Z</dcterms:created>
  <dcterms:modified xmlns:dcterms="http://purl.org/dc/terms/" xmlns:xsi="http://www.w3.org/2001/XMLSchema-instance" xsi:type="dcterms:W3CDTF">2026-09-11T10:06:16Z</dcterms:modified>
</cp:coreProperties>
</file>