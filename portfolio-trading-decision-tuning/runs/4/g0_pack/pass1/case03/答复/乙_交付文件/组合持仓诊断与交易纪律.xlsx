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汇总" sheetId="1" state="visible" r:id="rId1"/>
    <sheet name="持仓批次" sheetId="2" state="visible" r:id="rId2"/>
    <sheet name="行情与可交易状态" sheetId="3" state="visible" r:id="rId3"/>
    <sheet name="风险暴露" sheetId="4" state="visible" r:id="rId4"/>
    <sheet name="0_口径与摘要" sheetId="5" state="visible" r:id="rId5"/>
    <sheet name="核对_账户与持仓" sheetId="6" state="visible" r:id="rId6"/>
    <sheet name="核对_可卖与异常状态" sheetId="7" state="visible" r:id="rId7"/>
    <sheet name="诊断_集中度与外币" sheetId="8" state="visible" r:id="rId8"/>
    <sheet name="影响_转出5万元" sheetId="9" state="visible" r:id="rId9"/>
    <sheet name="纪律_条件规则" sheetId="10" state="visible" r:id="rId10"/>
    <sheet name="影响_调整后组合" sheetId="11" state="visible" r:id="rId11"/>
    <sheet name="待确认事项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;[Red]-#,##0"/>
    <numFmt numFmtId="166" formatCode="0.00%;[Red]-0.00%"/>
    <numFmt numFmtId="167" formatCode="0.00;[Red]-0.00"/>
  </numFmts>
  <fonts count="1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95959"/>
      <sz val="10"/>
    </font>
    <font>
      <name val="Microsoft YaHei"/>
      <b val="1"/>
      <color rgb="00FFFFFF"/>
      <sz val="11"/>
    </font>
    <font>
      <name val="Microsoft YaHei"/>
      <b val="1"/>
      <color rgb="00000000"/>
      <sz val="11"/>
    </font>
    <font>
      <name val="Microsoft YaHei"/>
      <color rgb="00000000"/>
      <sz val="11"/>
    </font>
    <font>
      <name val="Microsoft YaHei"/>
      <b val="1"/>
      <color rgb="00FFFFFF"/>
      <sz val="12"/>
    </font>
    <font>
      <name val="Microsoft YaHei"/>
      <b val="1"/>
      <color rgb="009C5700"/>
      <sz val="11"/>
    </font>
    <font>
      <name val="Microsoft YaHei"/>
      <b val="1"/>
      <color rgb="009C0006"/>
      <sz val="11"/>
    </font>
    <font>
      <name val="Microsoft YaHei"/>
      <b val="1"/>
      <color rgb="00FFFFFF"/>
      <sz val="16"/>
    </font>
    <font>
      <name val="Microsoft YaHei"/>
      <b val="1"/>
      <color rgb="00FFFFFF"/>
      <sz val="13"/>
    </font>
    <font>
      <name val="Microsoft YaHei"/>
      <b val="1"/>
      <color rgb="00000000"/>
      <sz val="12"/>
    </font>
    <font>
      <name val="Microsoft YaHei"/>
      <b val="1"/>
      <color rgb="00006100"/>
      <sz val="11"/>
    </font>
    <font>
      <name val="Microsoft YaHei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pivotButton="0" quotePrefix="0" xfId="0"/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2" fontId="5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5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166" fontId="4" fillId="3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5" fontId="4" fillId="3" borderId="0" pivotButton="0" quotePrefix="0" xfId="0"/>
    <xf numFmtId="0" fontId="0" fillId="0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0" borderId="1" pivotButton="0" quotePrefix="0" xfId="0"/>
    <xf numFmtId="167" fontId="5" fillId="0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10" fontId="12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32" customWidth="1" min="4" max="4"/>
  </cols>
  <sheetData>
    <row r="1">
      <c r="A1" s="1" t="inlineStr">
        <is>
          <t>账户汇总（原始记录）</t>
        </is>
      </c>
    </row>
    <row r="3" ht="30" customHeight="1">
      <c r="A3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3" t="inlineStr">
        <is>
          <t>项目</t>
        </is>
      </c>
      <c r="B5" s="3" t="inlineStr">
        <is>
          <t>托管系统 (CNY)</t>
        </is>
      </c>
      <c r="C5" s="3" t="inlineStr">
        <is>
          <t>组合经理手工 (CNY)</t>
        </is>
      </c>
      <c r="D5" s="3" t="inlineStr">
        <is>
          <t>备注</t>
        </is>
      </c>
    </row>
    <row r="6">
      <c r="A6" s="4" t="inlineStr">
        <is>
          <t>数据快照时间</t>
        </is>
      </c>
      <c r="B6" s="5" t="inlineStr">
        <is>
          <t>2026-08-14 15:05</t>
        </is>
      </c>
      <c r="C6" s="5" t="inlineStr">
        <is>
          <t>2026-08-14 15:10</t>
        </is>
      </c>
      <c r="D6" s="6" t="inlineStr">
        <is>
          <t>两套记录相隔 5 分钟</t>
        </is>
      </c>
    </row>
    <row r="7">
      <c r="A7" s="4" t="inlineStr">
        <is>
          <t>持仓市值</t>
        </is>
      </c>
      <c r="B7" s="7" t="n">
        <v>869820</v>
      </c>
      <c r="C7" s="7" t="n">
        <v>869820</v>
      </c>
      <c r="D7" s="6" t="inlineStr">
        <is>
          <t>按收盘价折算</t>
        </is>
      </c>
    </row>
    <row r="8">
      <c r="A8" s="4" t="inlineStr">
        <is>
          <t>人民币现金</t>
        </is>
      </c>
      <c r="B8" s="7" t="n">
        <v>142500</v>
      </c>
      <c r="C8" s="7" t="n">
        <v>142500</v>
      </c>
      <c r="D8" s="6" t="inlineStr"/>
    </row>
    <row r="9">
      <c r="A9" s="4" t="inlineStr">
        <is>
          <t>美元现金 (折人民币)</t>
        </is>
      </c>
      <c r="B9" s="7" t="n">
        <v>21540</v>
      </c>
      <c r="C9" s="7" t="n">
        <v>21540</v>
      </c>
      <c r="D9" s="6" t="inlineStr">
        <is>
          <t>按 USD/CNY = 0.92 折算</t>
        </is>
      </c>
    </row>
    <row r="10">
      <c r="A10" s="4" t="inlineStr">
        <is>
          <t>美元现金 (美元金额)</t>
        </is>
      </c>
      <c r="B10" s="7" t="n">
        <v>23413</v>
      </c>
      <c r="C10" s="7" t="n">
        <v>23413</v>
      </c>
      <c r="D10" s="6" t="inlineStr">
        <is>
          <t>USD 等值</t>
        </is>
      </c>
    </row>
    <row r="11">
      <c r="A11" s="4" t="inlineStr">
        <is>
          <t>待扣费用</t>
        </is>
      </c>
      <c r="B11" s="7" t="n">
        <v>-1200</v>
      </c>
      <c r="C11" s="7" t="n">
        <v>-1200</v>
      </c>
      <c r="D11" s="6" t="inlineStr">
        <is>
          <t>预估</t>
        </is>
      </c>
    </row>
    <row r="12">
      <c r="A12" s="8" t="inlineStr">
        <is>
          <t>合计</t>
        </is>
      </c>
      <c r="B12" s="9" t="n">
        <v>1032660</v>
      </c>
      <c r="C12" s="9" t="n">
        <v>1029000</v>
      </c>
      <c r="D12" s="10" t="inlineStr">
        <is>
          <t>差额 -3,660 CNY (-0.355%)</t>
        </is>
      </c>
    </row>
    <row r="13">
      <c r="A13" s="4" t="inlineStr">
        <is>
          <t>已确认资金转出</t>
        </is>
      </c>
      <c r="B13" s="7" t="n">
        <v>50000</v>
      </c>
      <c r="C13" s="7" t="n">
        <v>50000</v>
      </c>
      <c r="D13" s="6" t="inlineStr">
        <is>
          <t>下周一 (2026-09-14)</t>
        </is>
      </c>
    </row>
    <row r="15">
      <c r="A15" s="11" t="inlineStr">
        <is>
          <t>账户授权与组合约束（来自《账户授权与组合约束说明.docx》）</t>
        </is>
      </c>
    </row>
    <row r="17">
      <c r="A17" s="3" t="inlineStr">
        <is>
          <t>约束项</t>
        </is>
      </c>
      <c r="B17" s="3" t="inlineStr">
        <is>
          <t>阈值</t>
        </is>
      </c>
      <c r="C17" s="3" t="inlineStr">
        <is>
          <t>适用标的</t>
        </is>
      </c>
      <c r="D17" s="3" t="inlineStr">
        <is>
          <t>说明</t>
        </is>
      </c>
    </row>
    <row r="18">
      <c r="A18" s="4" t="inlineStr">
        <is>
          <t>单行业市值占比上限</t>
        </is>
      </c>
      <c r="B18" s="12" t="inlineStr">
        <is>
          <t>≤ 30%</t>
        </is>
      </c>
      <c r="C18" s="12" t="inlineStr">
        <is>
          <t>用于约束单一行业敞口</t>
        </is>
      </c>
    </row>
    <row r="19">
      <c r="A19" s="4" t="inlineStr">
        <is>
          <t>单只证券市值占比上限</t>
        </is>
      </c>
      <c r="B19" s="12" t="inlineStr">
        <is>
          <t>≤ 20%</t>
        </is>
      </c>
      <c r="C19" s="12" t="inlineStr">
        <is>
          <t>用于约束单股集中度</t>
        </is>
      </c>
    </row>
    <row r="20">
      <c r="A20" s="4" t="inlineStr">
        <is>
          <t>现金占比下限</t>
        </is>
      </c>
      <c r="B20" s="12" t="inlineStr">
        <is>
          <t>≥ 5%</t>
        </is>
      </c>
      <c r="C20" s="12" t="inlineStr">
        <is>
          <t>用于保持流动性</t>
        </is>
      </c>
    </row>
    <row r="21">
      <c r="A21" s="4" t="inlineStr">
        <is>
          <t>单笔交易上限</t>
        </is>
      </c>
      <c r="B21" s="12" t="inlineStr">
        <is>
          <t>≤ 200,000 CNY</t>
        </is>
      </c>
      <c r="C21" s="12" t="inlineStr">
        <is>
          <t>降低单笔执行风险</t>
        </is>
      </c>
    </row>
    <row r="22">
      <c r="A22" s="4" t="inlineStr">
        <is>
          <t>6个月目标最大回撤</t>
        </is>
      </c>
      <c r="B22" s="12" t="inlineStr">
        <is>
          <t>≤ 10%</t>
        </is>
      </c>
      <c r="C22" s="12" t="inlineStr">
        <is>
          <t>客户未来6个月主目标</t>
        </is>
      </c>
    </row>
    <row r="23">
      <c r="A23" s="4" t="inlineStr">
        <is>
          <t>A 股双边费率</t>
        </is>
      </c>
      <c r="B23" s="12" t="inlineStr">
        <is>
          <t>0.076%</t>
        </is>
      </c>
      <c r="C23" s="12" t="inlineStr">
        <is>
          <t>含规费</t>
        </is>
      </c>
    </row>
    <row r="24">
      <c r="A24" s="4" t="inlineStr">
        <is>
          <t>ETF 双边费率</t>
        </is>
      </c>
      <c r="B24" s="12" t="inlineStr">
        <is>
          <t>0.050%</t>
        </is>
      </c>
      <c r="C24" s="12" t="inlineStr"/>
    </row>
    <row r="25">
      <c r="A25" s="4" t="inlineStr">
        <is>
          <t>港股通双边费率</t>
        </is>
      </c>
      <c r="B25" s="12" t="inlineStr">
        <is>
          <t>0.200%</t>
        </is>
      </c>
      <c r="C25" s="12" t="inlineStr"/>
    </row>
    <row r="26">
      <c r="A26" s="4" t="inlineStr">
        <is>
          <t>HKD/CNY 预警阈值</t>
        </is>
      </c>
      <c r="B26" s="12" t="inlineStr">
        <is>
          <t>≤ 0.85</t>
        </is>
      </c>
      <c r="C26" s="12" t="inlineStr">
        <is>
          <t>汇率预警启动线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6" customWidth="1" min="10" max="10"/>
    <col width="28" customWidth="1" min="11" max="11"/>
  </cols>
  <sheetData>
    <row r="1">
      <c r="A1" s="1" t="inlineStr">
        <is>
          <t>持仓批次（原始 9 笔明细）</t>
        </is>
      </c>
    </row>
    <row r="3">
      <c r="A3" s="13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3" t="inlineStr">
        <is>
          <t>批次号</t>
        </is>
      </c>
      <c r="B5" s="3" t="inlineStr">
        <is>
          <t>证券ID</t>
        </is>
      </c>
      <c r="C5" s="3" t="inlineStr">
        <is>
          <t>行业</t>
        </is>
      </c>
      <c r="D5" s="3" t="inlineStr">
        <is>
          <t>名称</t>
        </is>
      </c>
      <c r="E5" s="3" t="inlineStr">
        <is>
          <t>数量</t>
        </is>
      </c>
      <c r="F5" s="3" t="inlineStr">
        <is>
          <t>成本价</t>
        </is>
      </c>
      <c r="G5" s="3" t="inlineStr">
        <is>
          <t>当前价</t>
        </is>
      </c>
      <c r="H5" s="3" t="inlineStr">
        <is>
          <t>货币</t>
        </is>
      </c>
      <c r="I5" s="3" t="inlineStr">
        <is>
          <t>买入日期</t>
        </is>
      </c>
      <c r="J5" s="3" t="inlineStr">
        <is>
          <t>汇率(CNY)</t>
        </is>
      </c>
      <c r="K5" s="3" t="inlineStr">
        <is>
          <t>备注</t>
        </is>
      </c>
    </row>
    <row r="6">
      <c r="A6" s="12" t="inlineStr">
        <is>
          <t>B01</t>
        </is>
      </c>
      <c r="B6" s="12" t="inlineStr">
        <is>
          <t>P01</t>
        </is>
      </c>
      <c r="C6" s="12" t="inlineStr">
        <is>
          <t>电子</t>
        </is>
      </c>
      <c r="D6" s="12" t="inlineStr">
        <is>
          <t>L1半导体ETF</t>
        </is>
      </c>
      <c r="E6" s="7" t="n">
        <v>3000</v>
      </c>
      <c r="F6" s="7" t="n">
        <v>38.5</v>
      </c>
      <c r="G6" s="7" t="n">
        <v>32.8</v>
      </c>
      <c r="H6" s="12" t="inlineStr">
        <is>
          <t>CNY</t>
        </is>
      </c>
      <c r="I6" s="12" t="inlineStr">
        <is>
          <t>2026-04-12</t>
        </is>
      </c>
      <c r="J6" s="14" t="n">
        <v>1</v>
      </c>
      <c r="K6" s="15" t="inlineStr">
        <is>
          <t>第一批次</t>
        </is>
      </c>
    </row>
    <row r="7">
      <c r="A7" s="12" t="inlineStr">
        <is>
          <t>B02</t>
        </is>
      </c>
      <c r="B7" s="12" t="inlineStr">
        <is>
          <t>P01</t>
        </is>
      </c>
      <c r="C7" s="12" t="inlineStr">
        <is>
          <t>电子</t>
        </is>
      </c>
      <c r="D7" s="12" t="inlineStr">
        <is>
          <t>L1半导体ETF</t>
        </is>
      </c>
      <c r="E7" s="7" t="n">
        <v>2000</v>
      </c>
      <c r="F7" s="7" t="n">
        <v>39.8</v>
      </c>
      <c r="G7" s="7" t="n">
        <v>32.8</v>
      </c>
      <c r="H7" s="12" t="inlineStr">
        <is>
          <t>CNY</t>
        </is>
      </c>
      <c r="I7" s="12" t="inlineStr">
        <is>
          <t>2026-08-14</t>
        </is>
      </c>
      <c r="J7" s="14" t="n">
        <v>1</v>
      </c>
      <c r="K7" s="15" t="inlineStr">
        <is>
          <t>当日买入(T+1锁定)</t>
        </is>
      </c>
    </row>
    <row r="8">
      <c r="A8" s="12" t="inlineStr">
        <is>
          <t>B03</t>
        </is>
      </c>
      <c r="B8" s="12" t="inlineStr">
        <is>
          <t>P02</t>
        </is>
      </c>
      <c r="C8" s="12" t="inlineStr">
        <is>
          <t>计算机</t>
        </is>
      </c>
      <c r="D8" s="12" t="inlineStr">
        <is>
          <t>软件龙头A</t>
        </is>
      </c>
      <c r="E8" s="7" t="n">
        <v>3000</v>
      </c>
      <c r="F8" s="7" t="n">
        <v>65.2</v>
      </c>
      <c r="G8" s="7" t="n">
        <v>58.4</v>
      </c>
      <c r="H8" s="12" t="inlineStr">
        <is>
          <t>CNY</t>
        </is>
      </c>
      <c r="I8" s="12" t="inlineStr">
        <is>
          <t>2026-05-08</t>
        </is>
      </c>
      <c r="J8" s="14" t="n">
        <v>1</v>
      </c>
      <c r="K8" s="15" t="inlineStr">
        <is>
          <t>正常</t>
        </is>
      </c>
    </row>
    <row r="9">
      <c r="A9" s="12" t="inlineStr">
        <is>
          <t>B04</t>
        </is>
      </c>
      <c r="B9" s="12" t="inlineStr">
        <is>
          <t>P03</t>
        </is>
      </c>
      <c r="C9" s="12" t="inlineStr">
        <is>
          <t>医药</t>
        </is>
      </c>
      <c r="D9" s="12" t="inlineStr">
        <is>
          <t>创新药B</t>
        </is>
      </c>
      <c r="E9" s="7" t="n">
        <v>5000</v>
      </c>
      <c r="F9" s="7" t="n">
        <v>11.3</v>
      </c>
      <c r="G9" s="7" t="n">
        <v>9.550000000000001</v>
      </c>
      <c r="H9" s="12" t="inlineStr">
        <is>
          <t>CNY</t>
        </is>
      </c>
      <c r="I9" s="12" t="inlineStr">
        <is>
          <t>2026-03-22</t>
        </is>
      </c>
      <c r="J9" s="14" t="n">
        <v>1</v>
      </c>
      <c r="K9" s="15" t="inlineStr">
        <is>
          <t>正常</t>
        </is>
      </c>
    </row>
    <row r="10">
      <c r="A10" s="12" t="inlineStr">
        <is>
          <t>B05</t>
        </is>
      </c>
      <c r="B10" s="12" t="inlineStr">
        <is>
          <t>P04</t>
        </is>
      </c>
      <c r="C10" s="12" t="inlineStr">
        <is>
          <t>通信</t>
        </is>
      </c>
      <c r="D10" s="12" t="inlineStr">
        <is>
          <t>5G设备C</t>
        </is>
      </c>
      <c r="E10" s="7" t="n">
        <v>6000</v>
      </c>
      <c r="F10" s="7" t="n">
        <v>18.8</v>
      </c>
      <c r="G10" s="7" t="n">
        <v>17.6</v>
      </c>
      <c r="H10" s="12" t="inlineStr">
        <is>
          <t>CNY</t>
        </is>
      </c>
      <c r="I10" s="12" t="inlineStr">
        <is>
          <t>2026-02-14</t>
        </is>
      </c>
      <c r="J10" s="14" t="n">
        <v>1</v>
      </c>
      <c r="K10" s="15" t="inlineStr">
        <is>
          <t>8/14全天停牌</t>
        </is>
      </c>
    </row>
    <row r="11">
      <c r="A11" s="12" t="inlineStr">
        <is>
          <t>B06</t>
        </is>
      </c>
      <c r="B11" s="12" t="inlineStr">
        <is>
          <t>P05</t>
        </is>
      </c>
      <c r="C11" s="12" t="inlineStr">
        <is>
          <t>计算机</t>
        </is>
      </c>
      <c r="D11" s="12" t="inlineStr">
        <is>
          <t>AI算力D</t>
        </is>
      </c>
      <c r="E11" s="7" t="n">
        <v>1500</v>
      </c>
      <c r="F11" s="7" t="n">
        <v>81.5</v>
      </c>
      <c r="G11" s="7" t="n">
        <v>105</v>
      </c>
      <c r="H11" s="12" t="inlineStr">
        <is>
          <t>CNY</t>
        </is>
      </c>
      <c r="I11" s="12" t="inlineStr">
        <is>
          <t>2026-01-19</t>
        </is>
      </c>
      <c r="J11" s="14" t="n">
        <v>1</v>
      </c>
      <c r="K11" s="15" t="inlineStr">
        <is>
          <t>第一批次</t>
        </is>
      </c>
    </row>
    <row r="12">
      <c r="A12" s="12" t="inlineStr">
        <is>
          <t>B07</t>
        </is>
      </c>
      <c r="B12" s="12" t="inlineStr">
        <is>
          <t>P05</t>
        </is>
      </c>
      <c r="C12" s="12" t="inlineStr">
        <is>
          <t>计算机</t>
        </is>
      </c>
      <c r="D12" s="12" t="inlineStr">
        <is>
          <t>AI算力D</t>
        </is>
      </c>
      <c r="E12" s="7" t="n">
        <v>500</v>
      </c>
      <c r="F12" s="7" t="n">
        <v>85.2</v>
      </c>
      <c r="G12" s="7" t="n">
        <v>105</v>
      </c>
      <c r="H12" s="12" t="inlineStr">
        <is>
          <t>CNY</t>
        </is>
      </c>
      <c r="I12" s="12" t="inlineStr">
        <is>
          <t>2026-03-05</t>
        </is>
      </c>
      <c r="J12" s="14" t="n">
        <v>1</v>
      </c>
      <c r="K12" s="15" t="inlineStr">
        <is>
          <t>第二批次</t>
        </is>
      </c>
    </row>
    <row r="13">
      <c r="A13" s="12" t="inlineStr">
        <is>
          <t>B08</t>
        </is>
      </c>
      <c r="B13" s="12" t="inlineStr">
        <is>
          <t>P06</t>
        </is>
      </c>
      <c r="C13" s="12" t="inlineStr">
        <is>
          <t>ETF</t>
        </is>
      </c>
      <c r="D13" s="12" t="inlineStr">
        <is>
          <t>红利低波E</t>
        </is>
      </c>
      <c r="E13" s="7" t="n">
        <v>10000</v>
      </c>
      <c r="F13" s="7" t="n">
        <v>3.2</v>
      </c>
      <c r="G13" s="7" t="n">
        <v>2.88</v>
      </c>
      <c r="H13" s="12" t="inlineStr">
        <is>
          <t>CNY</t>
        </is>
      </c>
      <c r="I13" s="12" t="inlineStr">
        <is>
          <t>2025-11-30</t>
        </is>
      </c>
      <c r="J13" s="14" t="n">
        <v>1</v>
      </c>
      <c r="K13" s="15" t="inlineStr">
        <is>
          <t>8/12除权 已分红0.80/份</t>
        </is>
      </c>
    </row>
    <row r="14">
      <c r="A14" s="12" t="inlineStr">
        <is>
          <t>B09</t>
        </is>
      </c>
      <c r="B14" s="12" t="inlineStr">
        <is>
          <t>P07</t>
        </is>
      </c>
      <c r="C14" s="12" t="inlineStr">
        <is>
          <t>ETF</t>
        </is>
      </c>
      <c r="D14" s="12" t="inlineStr">
        <is>
          <t>港股通F</t>
        </is>
      </c>
      <c r="E14" s="7" t="n">
        <v>10000</v>
      </c>
      <c r="F14" s="7" t="n">
        <v>15.2</v>
      </c>
      <c r="G14" s="7" t="n">
        <v>14.5</v>
      </c>
      <c r="H14" s="12" t="inlineStr">
        <is>
          <t>HKD</t>
        </is>
      </c>
      <c r="I14" s="12" t="inlineStr">
        <is>
          <t>2025-12-18</t>
        </is>
      </c>
      <c r="J14" s="14" t="n">
        <v>0.92</v>
      </c>
      <c r="K14" s="15" t="inlineStr">
        <is>
          <t>港币计价 跨境ETF</t>
        </is>
      </c>
    </row>
    <row r="15">
      <c r="A15" s="16" t="inlineStr">
        <is>
          <t>合计</t>
        </is>
      </c>
      <c r="B15" s="17" t="n"/>
      <c r="C15" s="17" t="n"/>
      <c r="D15" s="17" t="n"/>
      <c r="E15" s="9">
        <f>SUM(E6:E14)</f>
        <v/>
      </c>
      <c r="F15" s="17" t="n"/>
      <c r="G15" s="17" t="n"/>
      <c r="H15" s="17" t="n"/>
      <c r="I15" s="17" t="n"/>
      <c r="J15" s="17" t="n"/>
      <c r="K15" s="17" t="n"/>
    </row>
  </sheetData>
  <mergeCells count="2"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0" customWidth="1" min="10" max="10"/>
  </cols>
  <sheetData>
    <row r="1">
      <c r="A1" s="1" t="inlineStr">
        <is>
          <t>行情与可交易状态（原始）</t>
        </is>
      </c>
    </row>
    <row r="3">
      <c r="A3" s="13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3" t="inlineStr">
        <is>
          <t>证券ID</t>
        </is>
      </c>
      <c r="B5" s="3" t="inlineStr">
        <is>
          <t>名称</t>
        </is>
      </c>
      <c r="C5" s="3" t="inlineStr">
        <is>
          <t>当前价</t>
        </is>
      </c>
      <c r="D5" s="3" t="inlineStr">
        <is>
          <t>涨停价</t>
        </is>
      </c>
      <c r="E5" s="3" t="inlineStr">
        <is>
          <t>跌停价</t>
        </is>
      </c>
      <c r="F5" s="3" t="inlineStr">
        <is>
          <t>停牌</t>
        </is>
      </c>
      <c r="G5" s="3" t="inlineStr">
        <is>
          <t>跌停封板</t>
        </is>
      </c>
      <c r="H5" s="3" t="inlineStr">
        <is>
          <t>当日买入股数</t>
        </is>
      </c>
      <c r="I5" s="3" t="inlineStr">
        <is>
          <t>T+1锁定股数</t>
        </is>
      </c>
      <c r="J5" s="3" t="inlineStr">
        <is>
          <t>备注</t>
        </is>
      </c>
    </row>
    <row r="6">
      <c r="A6" s="12" t="inlineStr">
        <is>
          <t>P01</t>
        </is>
      </c>
      <c r="B6" s="12" t="inlineStr">
        <is>
          <t>L1半导体ETF</t>
        </is>
      </c>
      <c r="C6" s="18" t="n">
        <v>32.8</v>
      </c>
      <c r="D6" s="18" t="n">
        <v>35.1</v>
      </c>
      <c r="E6" s="18" t="n">
        <v>30.5</v>
      </c>
      <c r="F6" s="12" t="b">
        <v>0</v>
      </c>
      <c r="G6" s="12" t="b">
        <v>0</v>
      </c>
      <c r="H6" s="7" t="n">
        <v>2000</v>
      </c>
      <c r="I6" s="7" t="n">
        <v>2000</v>
      </c>
      <c r="J6" s="15" t="inlineStr">
        <is>
          <t>T+1锁定2000</t>
        </is>
      </c>
    </row>
    <row r="7">
      <c r="A7" s="12" t="inlineStr">
        <is>
          <t>P02</t>
        </is>
      </c>
      <c r="B7" s="12" t="inlineStr">
        <is>
          <t>软件龙头A</t>
        </is>
      </c>
      <c r="C7" s="18" t="n">
        <v>58.4</v>
      </c>
      <c r="D7" s="18" t="n">
        <v>64.3</v>
      </c>
      <c r="E7" s="18" t="n">
        <v>52.5</v>
      </c>
      <c r="F7" s="12" t="b">
        <v>0</v>
      </c>
      <c r="G7" s="12" t="b">
        <v>1</v>
      </c>
      <c r="H7" s="7" t="n">
        <v>0</v>
      </c>
      <c r="I7" s="7" t="n">
        <v>0</v>
      </c>
      <c r="J7" s="15" t="inlineStr">
        <is>
          <t>收盘跌停封板</t>
        </is>
      </c>
    </row>
    <row r="8">
      <c r="A8" s="12" t="inlineStr">
        <is>
          <t>P03</t>
        </is>
      </c>
      <c r="B8" s="12" t="inlineStr">
        <is>
          <t>创新药B</t>
        </is>
      </c>
      <c r="C8" s="18" t="n">
        <v>9.550000000000001</v>
      </c>
      <c r="D8" s="18" t="n">
        <v>10.5</v>
      </c>
      <c r="E8" s="18" t="n">
        <v>8.6</v>
      </c>
      <c r="F8" s="12" t="b">
        <v>0</v>
      </c>
      <c r="G8" s="12" t="b">
        <v>0</v>
      </c>
      <c r="H8" s="7" t="n">
        <v>0</v>
      </c>
      <c r="I8" s="7" t="n">
        <v>0</v>
      </c>
      <c r="J8" s="15" t="inlineStr">
        <is>
          <t>正常</t>
        </is>
      </c>
    </row>
    <row r="9">
      <c r="A9" s="12" t="inlineStr">
        <is>
          <t>P04</t>
        </is>
      </c>
      <c r="B9" s="12" t="inlineStr">
        <is>
          <t>5G设备C</t>
        </is>
      </c>
      <c r="C9" s="18" t="n">
        <v>17.6</v>
      </c>
      <c r="D9" s="18" t="n">
        <v>19.4</v>
      </c>
      <c r="E9" s="18" t="n">
        <v>15.8</v>
      </c>
      <c r="F9" s="12" t="b">
        <v>1</v>
      </c>
      <c r="G9" s="12" t="b">
        <v>0</v>
      </c>
      <c r="H9" s="7" t="n">
        <v>0</v>
      </c>
      <c r="I9" s="7" t="n">
        <v>0</v>
      </c>
      <c r="J9" s="15" t="inlineStr">
        <is>
          <t>全天停牌 复牌日未明</t>
        </is>
      </c>
    </row>
    <row r="10">
      <c r="A10" s="12" t="inlineStr">
        <is>
          <t>P05</t>
        </is>
      </c>
      <c r="B10" s="12" t="inlineStr">
        <is>
          <t>AI算力D</t>
        </is>
      </c>
      <c r="C10" s="18" t="n">
        <v>105</v>
      </c>
      <c r="D10" s="18" t="n">
        <v>115.5</v>
      </c>
      <c r="E10" s="18" t="n">
        <v>94.5</v>
      </c>
      <c r="F10" s="12" t="b">
        <v>0</v>
      </c>
      <c r="G10" s="12" t="b">
        <v>0</v>
      </c>
      <c r="H10" s="7" t="n">
        <v>0</v>
      </c>
      <c r="I10" s="7" t="n">
        <v>0</v>
      </c>
      <c r="J10" s="15" t="inlineStr">
        <is>
          <t>正常</t>
        </is>
      </c>
    </row>
    <row r="11">
      <c r="A11" s="12" t="inlineStr">
        <is>
          <t>P06</t>
        </is>
      </c>
      <c r="B11" s="12" t="inlineStr">
        <is>
          <t>红利低波E</t>
        </is>
      </c>
      <c r="C11" s="18" t="n">
        <v>2.88</v>
      </c>
      <c r="D11" s="18" t="n">
        <v>3.17</v>
      </c>
      <c r="E11" s="18" t="n">
        <v>2.59</v>
      </c>
      <c r="F11" s="12" t="b">
        <v>0</v>
      </c>
      <c r="G11" s="12" t="b">
        <v>0</v>
      </c>
      <c r="H11" s="7" t="n">
        <v>0</v>
      </c>
      <c r="I11" s="7" t="n">
        <v>0</v>
      </c>
      <c r="J11" s="15" t="inlineStr">
        <is>
          <t>已除权 价格按除权后2.88</t>
        </is>
      </c>
    </row>
    <row r="12">
      <c r="A12" s="12" t="inlineStr">
        <is>
          <t>P07</t>
        </is>
      </c>
      <c r="B12" s="12" t="inlineStr">
        <is>
          <t>港股通F</t>
        </is>
      </c>
      <c r="C12" s="18" t="n">
        <v>14.5</v>
      </c>
      <c r="D12" s="18" t="n">
        <v>15.95</v>
      </c>
      <c r="E12" s="18" t="n">
        <v>13.05</v>
      </c>
      <c r="F12" s="12" t="b">
        <v>0</v>
      </c>
      <c r="G12" s="12" t="b">
        <v>0</v>
      </c>
      <c r="H12" s="7" t="n">
        <v>0</v>
      </c>
      <c r="I12" s="7" t="n">
        <v>0</v>
      </c>
      <c r="J12" s="15" t="inlineStr">
        <is>
          <t>HKD计价 跨境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风险暴露（原始）</t>
        </is>
      </c>
    </row>
    <row r="3">
      <c r="A3" s="13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3" t="inlineStr">
        <is>
          <t>证券ID</t>
        </is>
      </c>
      <c r="B5" s="3" t="inlineStr">
        <is>
          <t>名称</t>
        </is>
      </c>
      <c r="C5" s="3" t="inlineStr">
        <is>
          <t>行业</t>
        </is>
      </c>
      <c r="D5" s="3" t="inlineStr">
        <is>
          <t>风险等级</t>
        </is>
      </c>
      <c r="E5" s="3" t="inlineStr">
        <is>
          <t>类别</t>
        </is>
      </c>
      <c r="F5" s="3" t="inlineStr">
        <is>
          <t>币种</t>
        </is>
      </c>
      <c r="G5" s="3" t="inlineStr">
        <is>
          <t>与P05相关系数</t>
        </is>
      </c>
      <c r="H5" s="3" t="inlineStr">
        <is>
          <t>备注</t>
        </is>
      </c>
    </row>
    <row r="6">
      <c r="A6" s="12" t="inlineStr">
        <is>
          <t>P01</t>
        </is>
      </c>
      <c r="B6" s="12" t="inlineStr">
        <is>
          <t>L1半导体ETF</t>
        </is>
      </c>
      <c r="C6" s="12" t="inlineStr">
        <is>
          <t>电子</t>
        </is>
      </c>
      <c r="D6" s="19" t="inlineStr">
        <is>
          <t>中高</t>
        </is>
      </c>
      <c r="E6" s="12" t="inlineStr">
        <is>
          <t>成长</t>
        </is>
      </c>
      <c r="F6" s="12" t="inlineStr">
        <is>
          <t>CNY</t>
        </is>
      </c>
      <c r="G6" s="18" t="n">
        <v>0.72</v>
      </c>
      <c r="H6" s="15" t="inlineStr"/>
    </row>
    <row r="7">
      <c r="A7" s="12" t="inlineStr">
        <is>
          <t>P02</t>
        </is>
      </c>
      <c r="B7" s="12" t="inlineStr">
        <is>
          <t>软件龙头A</t>
        </is>
      </c>
      <c r="C7" s="12" t="inlineStr">
        <is>
          <t>计算机</t>
        </is>
      </c>
      <c r="D7" s="20" t="inlineStr">
        <is>
          <t>高</t>
        </is>
      </c>
      <c r="E7" s="12" t="inlineStr">
        <is>
          <t>成长</t>
        </is>
      </c>
      <c r="F7" s="12" t="inlineStr">
        <is>
          <t>CNY</t>
        </is>
      </c>
      <c r="G7" s="18" t="n">
        <v>0.8100000000000001</v>
      </c>
      <c r="H7" s="15" t="inlineStr"/>
    </row>
    <row r="8">
      <c r="A8" s="12" t="inlineStr">
        <is>
          <t>P03</t>
        </is>
      </c>
      <c r="B8" s="12" t="inlineStr">
        <is>
          <t>创新药B</t>
        </is>
      </c>
      <c r="C8" s="12" t="inlineStr">
        <is>
          <t>医药</t>
        </is>
      </c>
      <c r="D8" s="16" t="inlineStr">
        <is>
          <t>中</t>
        </is>
      </c>
      <c r="E8" s="12" t="inlineStr">
        <is>
          <t>价值</t>
        </is>
      </c>
      <c r="F8" s="12" t="inlineStr">
        <is>
          <t>CNY</t>
        </is>
      </c>
      <c r="G8" s="18" t="n">
        <v>0.32</v>
      </c>
      <c r="H8" s="15" t="inlineStr"/>
    </row>
    <row r="9">
      <c r="A9" s="12" t="inlineStr">
        <is>
          <t>P04</t>
        </is>
      </c>
      <c r="B9" s="12" t="inlineStr">
        <is>
          <t>5G设备C</t>
        </is>
      </c>
      <c r="C9" s="12" t="inlineStr">
        <is>
          <t>通信</t>
        </is>
      </c>
      <c r="D9" s="16" t="inlineStr">
        <is>
          <t>中</t>
        </is>
      </c>
      <c r="E9" s="12" t="inlineStr">
        <is>
          <t>周期</t>
        </is>
      </c>
      <c r="F9" s="12" t="inlineStr">
        <is>
          <t>CNY</t>
        </is>
      </c>
      <c r="G9" s="18" t="n">
        <v>0.45</v>
      </c>
      <c r="H9" s="15" t="inlineStr"/>
    </row>
    <row r="10">
      <c r="A10" s="12" t="inlineStr">
        <is>
          <t>P05</t>
        </is>
      </c>
      <c r="B10" s="12" t="inlineStr">
        <is>
          <t>AI算力D</t>
        </is>
      </c>
      <c r="C10" s="12" t="inlineStr">
        <is>
          <t>计算机</t>
        </is>
      </c>
      <c r="D10" s="20" t="inlineStr">
        <is>
          <t>高</t>
        </is>
      </c>
      <c r="E10" s="12" t="inlineStr">
        <is>
          <t>成长</t>
        </is>
      </c>
      <c r="F10" s="12" t="inlineStr">
        <is>
          <t>CNY</t>
        </is>
      </c>
      <c r="G10" s="18" t="n">
        <v>1</v>
      </c>
      <c r="H10" s="15" t="inlineStr"/>
    </row>
    <row r="11">
      <c r="A11" s="12" t="inlineStr">
        <is>
          <t>P06</t>
        </is>
      </c>
      <c r="B11" s="12" t="inlineStr">
        <is>
          <t>红利低波E</t>
        </is>
      </c>
      <c r="C11" s="12" t="inlineStr">
        <is>
          <t>ETF-红利</t>
        </is>
      </c>
      <c r="D11" s="21" t="inlineStr">
        <is>
          <t>低</t>
        </is>
      </c>
      <c r="E11" s="12" t="inlineStr">
        <is>
          <t>红利</t>
        </is>
      </c>
      <c r="F11" s="12" t="inlineStr">
        <is>
          <t>CNY</t>
        </is>
      </c>
      <c r="G11" s="18" t="n">
        <v>0.15</v>
      </c>
      <c r="H11" s="15" t="inlineStr"/>
    </row>
    <row r="12">
      <c r="A12" s="12" t="inlineStr">
        <is>
          <t>P07</t>
        </is>
      </c>
      <c r="B12" s="12" t="inlineStr">
        <is>
          <t>港股通F</t>
        </is>
      </c>
      <c r="C12" s="12" t="inlineStr">
        <is>
          <t>ETF-跨境</t>
        </is>
      </c>
      <c r="D12" s="19" t="inlineStr">
        <is>
          <t>中高</t>
        </is>
      </c>
      <c r="E12" s="12" t="inlineStr">
        <is>
          <t>跨境</t>
        </is>
      </c>
      <c r="F12" s="12" t="inlineStr">
        <is>
          <t>HKD</t>
        </is>
      </c>
      <c r="G12" s="18" t="n">
        <v>0.64</v>
      </c>
      <c r="H12" s="1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18" customWidth="1" min="4" max="4"/>
    <col width="18" customWidth="1" min="5" max="5"/>
  </cols>
  <sheetData>
    <row r="1">
      <c r="A1" s="22" t="inlineStr">
        <is>
          <t>组合持仓诊断与交易纪律 — 口径与摘要</t>
        </is>
      </c>
    </row>
    <row r="3">
      <c r="A3" s="23" t="inlineStr">
        <is>
          <t>一、操作背景与口径</t>
        </is>
      </c>
    </row>
    <row r="4">
      <c r="A4" s="4" t="inlineStr">
        <is>
          <t>报告生成时间</t>
        </is>
      </c>
      <c r="B4" s="12" t="inlineStr">
        <is>
          <t>2026-09-11 17:08</t>
        </is>
      </c>
      <c r="C4" s="24" t="n"/>
      <c r="D4" s="25" t="n"/>
      <c r="E4" s="15" t="inlineStr">
        <is>
          <t>本工作簿生成时刻</t>
        </is>
      </c>
    </row>
    <row r="5">
      <c r="A5" s="4" t="inlineStr">
        <is>
          <t>当前日期</t>
        </is>
      </c>
      <c r="B5" s="12" t="inlineStr">
        <is>
          <t>2026-09-11</t>
        </is>
      </c>
      <c r="C5" s="24" t="n"/>
      <c r="D5" s="25" t="n"/>
      <c r="E5" s="15" t="inlineStr">
        <is>
          <t>周五</t>
        </is>
      </c>
    </row>
    <row r="6">
      <c r="A6" s="4" t="inlineStr">
        <is>
          <t>下周一</t>
        </is>
      </c>
      <c r="B6" s="12" t="inlineStr">
        <is>
          <t>2026-09-14</t>
        </is>
      </c>
      <c r="C6" s="24" t="n"/>
      <c r="D6" s="25" t="n"/>
      <c r="E6" s="15" t="inlineStr">
        <is>
          <t>客户已确认资金转出 5 万元</t>
        </is>
      </c>
    </row>
    <row r="7">
      <c r="A7" s="4" t="inlineStr">
        <is>
          <t>未来六个月窗口</t>
        </is>
      </c>
      <c r="B7" s="12" t="inlineStr">
        <is>
          <t>2026-09-11 至 2027-03-11</t>
        </is>
      </c>
      <c r="C7" s="24" t="n"/>
      <c r="D7" s="25" t="n"/>
      <c r="E7" s="15" t="inlineStr">
        <is>
          <t>客户主目标：控制回撤 + 保持流动性</t>
        </is>
      </c>
    </row>
    <row r="8">
      <c r="A8" s="4" t="inlineStr">
        <is>
          <t>数据快照时间</t>
        </is>
      </c>
      <c r="B8" s="12" t="inlineStr">
        <is>
          <t>2026-08-14 15:00 (周五收盘)</t>
        </is>
      </c>
      <c r="C8" s="24" t="n"/>
      <c r="D8" s="25" t="n"/>
      <c r="E8" s="15" t="inlineStr">
        <is>
          <t>来自源 xlsx</t>
        </is>
      </c>
    </row>
    <row r="10">
      <c r="A10" s="23" t="inlineStr">
        <is>
          <t>二、账户总资产的两套记录与采用口径</t>
        </is>
      </c>
    </row>
    <row r="11">
      <c r="A11" s="3" t="inlineStr">
        <is>
          <t>口径</t>
        </is>
      </c>
      <c r="B11" s="3" t="inlineStr">
        <is>
          <t>总资产 (CNY)</t>
        </is>
      </c>
      <c r="C11" s="3" t="inlineStr">
        <is>
          <t>差异 (CNY)</t>
        </is>
      </c>
      <c r="D11" s="3" t="inlineStr">
        <is>
          <t>差异率</t>
        </is>
      </c>
      <c r="E11" s="3" t="inlineStr">
        <is>
          <t>备注</t>
        </is>
      </c>
    </row>
    <row r="12">
      <c r="A12" s="12" t="inlineStr">
        <is>
          <t>托管系统</t>
        </is>
      </c>
      <c r="B12" s="7" t="n">
        <v>1032660</v>
      </c>
      <c r="C12" s="26">
        <f>B12-B13</f>
        <v/>
      </c>
      <c r="D12" s="27">
        <f>B12/B13-1</f>
        <v/>
      </c>
      <c r="E12" s="12" t="inlineStr">
        <is>
          <t>基准口径（与各项加和勾兑一致）</t>
        </is>
      </c>
    </row>
    <row r="13">
      <c r="A13" s="12" t="inlineStr">
        <is>
          <t>组合经理手工</t>
        </is>
      </c>
      <c r="B13" s="7" t="n">
        <v>1029000</v>
      </c>
      <c r="C13" s="28" t="n">
        <v>0</v>
      </c>
      <c r="D13" s="27" t="n">
        <v>0</v>
      </c>
      <c r="E13" s="12" t="inlineStr">
        <is>
          <t>手工记录平行展示</t>
        </is>
      </c>
    </row>
    <row r="15" ht="80" customHeight="1">
      <c r="A15" s="29" t="inlineStr">
        <is>
          <t>采用托管系统记录（103,266,0）作为主口径，理由：①托管系统与四项加和（869,820 市值 + 142,500 现金 + 21,540 USD折算 - 1,200 待扣费用）完全勾兑；②金额级小（差额 -3,660 CNY, -0.355%），多源于 USD 折算/费用/分红口径差异；③组合经理手工记录仅隔 5 分钟，无重大交易冲击。下文若不另行说明，账户总额均按托管系统。</t>
        </is>
      </c>
      <c r="B15" s="24" t="n"/>
      <c r="C15" s="24" t="n"/>
      <c r="D15" s="24" t="n"/>
      <c r="E15" s="25" t="n"/>
    </row>
    <row r="18">
      <c r="A18" s="23" t="inlineStr">
        <is>
          <t>三、资金转出 5 万元对组合约束的影响（摘要）</t>
        </is>
      </c>
    </row>
    <row r="19">
      <c r="A19" s="3" t="inlineStr">
        <is>
          <t>指标</t>
        </is>
      </c>
      <c r="B19" s="3" t="inlineStr">
        <is>
          <t>转出前</t>
        </is>
      </c>
      <c r="C19" s="3" t="inlineStr">
        <is>
          <t>转出后</t>
        </is>
      </c>
      <c r="D19" s="3" t="inlineStr">
        <is>
          <t>变化</t>
        </is>
      </c>
      <c r="E19" s="3" t="inlineStr">
        <is>
          <t>判定</t>
        </is>
      </c>
    </row>
    <row r="20">
      <c r="A20" s="4" t="inlineStr">
        <is>
          <t>人民币现金 (CNY)</t>
        </is>
      </c>
      <c r="B20" s="7" t="n">
        <v>142500</v>
      </c>
      <c r="C20" s="7" t="n">
        <v>92500</v>
      </c>
      <c r="D20" s="30">
        <f>C20-B20</f>
        <v/>
      </c>
      <c r="E20" s="15" t="inlineStr">
        <is>
          <t>仍≥5万流动性缓冲</t>
        </is>
      </c>
    </row>
    <row r="21">
      <c r="A21" s="4" t="inlineStr">
        <is>
          <t>现金占比 (CNY/总资产)</t>
        </is>
      </c>
      <c r="B21" s="31" t="n"/>
      <c r="C21" s="24" t="n"/>
      <c r="D21" s="25" t="n"/>
      <c r="E21" s="15" t="inlineStr">
        <is>
          <t>由 13.80% 降至 9.41%（含USD 11.60%），仍 ≥ 5% 下限</t>
        </is>
      </c>
    </row>
    <row r="22">
      <c r="A22" s="4" t="inlineStr">
        <is>
          <t>现金缓冲 (pp)</t>
        </is>
      </c>
      <c r="B22" s="31" t="n"/>
      <c r="C22" s="24" t="n"/>
      <c r="D22" s="25" t="n"/>
      <c r="E22" s="15" t="inlineStr">
        <is>
          <t>由 8.80pp 缩窄到 4.41pp</t>
        </is>
      </c>
    </row>
    <row r="23">
      <c r="A23" s="4" t="inlineStr">
        <is>
          <t>行业最大占比 (计算机)</t>
        </is>
      </c>
      <c r="B23" s="31" t="n"/>
      <c r="C23" s="24" t="n"/>
      <c r="D23" s="25" t="n"/>
      <c r="E23" s="15" t="inlineStr">
        <is>
          <t>由 37.30% 升至 39.20%，触发单行业 30% 阈值告警</t>
        </is>
      </c>
    </row>
    <row r="24">
      <c r="A24" s="4" t="inlineStr">
        <is>
          <t>单只最大占比 (P05)</t>
        </is>
      </c>
      <c r="B24" s="31" t="n"/>
      <c r="C24" s="24" t="n"/>
      <c r="D24" s="25" t="n"/>
      <c r="E24" s="15" t="inlineStr">
        <is>
          <t>由 20.34% 升至 21.36%，接近 20% 阈值</t>
        </is>
      </c>
    </row>
    <row r="27">
      <c r="A27" s="23" t="inlineStr">
        <is>
          <t>四、需优先处理的 3 条持仓（结合行业集中度、相关性与异常状态）</t>
        </is>
      </c>
    </row>
    <row r="28">
      <c r="A28" s="3" t="inlineStr">
        <is>
          <t>优先级</t>
        </is>
      </c>
      <c r="B28" s="3" t="inlineStr">
        <is>
          <t>标的</t>
        </is>
      </c>
      <c r="C28" s="3" t="inlineStr">
        <is>
          <t>行业</t>
        </is>
      </c>
      <c r="D28" s="3" t="inlineStr">
        <is>
          <t>权重</t>
        </is>
      </c>
      <c r="E28" s="3" t="inlineStr">
        <is>
          <t>与P05相关系数(对P01/P02/P07)</t>
        </is>
      </c>
      <c r="F28" s="3" t="inlineStr">
        <is>
          <t>优先处理理由</t>
        </is>
      </c>
    </row>
    <row r="29" ht="50" customHeight="1">
      <c r="A29" s="4" t="inlineStr">
        <is>
          <t>①</t>
        </is>
      </c>
      <c r="B29" s="32" t="inlineStr">
        <is>
          <t>P05 (AI算力)</t>
        </is>
      </c>
      <c r="C29" s="32" t="inlineStr">
        <is>
          <t>计算机</t>
        </is>
      </c>
      <c r="D29" s="32" t="inlineStr">
        <is>
          <t>20.34%</t>
        </is>
      </c>
      <c r="E29" s="32" t="inlineStr">
        <is>
          <t>0.72/0.81/0.64</t>
        </is>
      </c>
      <c r="F29" s="32" t="inlineStr">
        <is>
          <t>单一最大持仓，与 P01/P02/P07 高度相关；当前浮盈 +28.6%，减持可同时降低行业与相关双维度集中度</t>
        </is>
      </c>
    </row>
    <row r="30" ht="50" customHeight="1">
      <c r="A30" s="4" t="inlineStr">
        <is>
          <t>②</t>
        </is>
      </c>
      <c r="B30" s="32" t="inlineStr">
        <is>
          <t>P02 (软件龙头A)</t>
        </is>
      </c>
      <c r="C30" s="32" t="inlineStr">
        <is>
          <t>计算机</t>
        </is>
      </c>
      <c r="D30" s="32" t="inlineStr">
        <is>
          <t>16.96%</t>
        </is>
      </c>
      <c r="E30" s="32" t="inlineStr">
        <is>
          <t>0.81</t>
        </is>
      </c>
      <c r="F30" s="32" t="inlineStr">
        <is>
          <t>8/14 收盘跌停封板，可卖 3000 但成交不确定；触发'无法成交'分支；如次日开板+继续下跌，配合 P05 同步减持</t>
        </is>
      </c>
    </row>
    <row r="31" ht="50" customHeight="1">
      <c r="A31" s="4" t="inlineStr">
        <is>
          <t>③</t>
        </is>
      </c>
      <c r="B31" s="32" t="inlineStr">
        <is>
          <t>P01 (L1半导体ETF)</t>
        </is>
      </c>
      <c r="C31" s="32" t="inlineStr">
        <is>
          <t>电子</t>
        </is>
      </c>
      <c r="D31" s="32" t="inlineStr">
        <is>
          <t>15.88%</t>
        </is>
      </c>
      <c r="E31" s="32" t="inlineStr">
        <is>
          <t>0.72</t>
        </is>
      </c>
      <c r="F31" s="32" t="inlineStr">
        <is>
          <t>5000 股中含 2000 股当日买入 (T+1 锁定)，可卖仅 3000；与 P05 相关 0.72；建议下周一 (9/14) T+1 解锁后处理</t>
        </is>
      </c>
    </row>
    <row r="33">
      <c r="A33" s="23" t="inlineStr">
        <is>
          <t>五、异常交易状态汇总</t>
        </is>
      </c>
    </row>
    <row r="34">
      <c r="A34" s="3" t="inlineStr">
        <is>
          <t>证券ID</t>
        </is>
      </c>
      <c r="B34" s="3" t="inlineStr">
        <is>
          <t>类型</t>
        </is>
      </c>
      <c r="C34" s="3" t="inlineStr">
        <is>
          <t>持仓</t>
        </is>
      </c>
      <c r="D34" s="3" t="inlineStr">
        <is>
          <t>可卖</t>
        </is>
      </c>
      <c r="E34" s="3" t="inlineStr">
        <is>
          <t>处置要点</t>
        </is>
      </c>
    </row>
    <row r="35" ht="40" customHeight="1">
      <c r="A35" s="4" t="inlineStr">
        <is>
          <t>P01</t>
        </is>
      </c>
      <c r="B35" s="32" t="inlineStr">
        <is>
          <t>T+1 当日买入</t>
        </is>
      </c>
      <c r="C35" s="32" t="n">
        <v>5000</v>
      </c>
      <c r="D35" s="7" t="n">
        <v>3000</v>
      </c>
      <c r="E35" s="7" t="inlineStr">
        <is>
          <t>2000 股 T+1 锁定；建议 2026-09-14 (周一) T+1 解锁后处理</t>
        </is>
      </c>
    </row>
    <row r="36" ht="40" customHeight="1">
      <c r="A36" s="4" t="inlineStr">
        <is>
          <t>P02</t>
        </is>
      </c>
      <c r="B36" s="32" t="inlineStr">
        <is>
          <t>收盘跌停</t>
        </is>
      </c>
      <c r="C36" s="32" t="n">
        <v>3000</v>
      </c>
      <c r="D36" s="7" t="n">
        <v>3000</v>
      </c>
      <c r="E36" s="7" t="inlineStr">
        <is>
          <t>8/14 收盘封板；次日 (2026-08-15) 开盘成交不确定；触发'无法成交'分支</t>
        </is>
      </c>
    </row>
    <row r="37" ht="40" customHeight="1">
      <c r="A37" s="4" t="inlineStr">
        <is>
          <t>P04</t>
        </is>
      </c>
      <c r="B37" s="32" t="inlineStr">
        <is>
          <t>全天停牌</t>
        </is>
      </c>
      <c r="C37" s="32" t="n">
        <v>6000</v>
      </c>
      <c r="D37" s="7" t="n">
        <v>0</v>
      </c>
      <c r="E37" s="7" t="inlineStr">
        <is>
          <t>8/14 全天停牌；可卖=0；纳入'待复牌观察'，不计入可执行减持</t>
        </is>
      </c>
    </row>
    <row r="38" ht="40" customHeight="1">
      <c r="A38" s="4" t="inlineStr">
        <is>
          <t>P06</t>
        </is>
      </c>
      <c r="B38" s="32" t="inlineStr">
        <is>
          <t>已除权 / 已分红</t>
        </is>
      </c>
      <c r="C38" s="32" t="n">
        <v>10000</v>
      </c>
      <c r="D38" s="7" t="n">
        <v>10000</v>
      </c>
      <c r="E38" s="7" t="inlineStr">
        <is>
          <t>8/12 已收 0.80/份分红 (8,000 CNY)；当前价 2.88 已按除权后入账</t>
        </is>
      </c>
    </row>
    <row r="39" ht="40" customHeight="1">
      <c r="A39" s="4" t="inlineStr">
        <is>
          <t>P07</t>
        </is>
      </c>
      <c r="B39" s="32" t="inlineStr">
        <is>
          <t>港币计价 ETF (跨境)</t>
        </is>
      </c>
      <c r="C39" s="32" t="n">
        <v>10000</v>
      </c>
      <c r="D39" s="7" t="n">
        <v>10000</v>
      </c>
      <c r="E39" s="7" t="inlineStr">
        <is>
          <t>按 HKD/CNY = 0.92 折算；如 HKD ≤ 0.85 触发汇率预警</t>
        </is>
      </c>
    </row>
    <row r="42" ht="30" customHeight="1">
      <c r="A42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</sheetData>
  <mergeCells count="17">
    <mergeCell ref="B5:D5"/>
    <mergeCell ref="B23:D23"/>
    <mergeCell ref="A15:E15"/>
    <mergeCell ref="A10:E10"/>
    <mergeCell ref="B8:D8"/>
    <mergeCell ref="B22:D22"/>
    <mergeCell ref="B4:D4"/>
    <mergeCell ref="A33:E33"/>
    <mergeCell ref="A42:E42"/>
    <mergeCell ref="A1:E1"/>
    <mergeCell ref="B21:D21"/>
    <mergeCell ref="B7:D7"/>
    <mergeCell ref="B24:D24"/>
    <mergeCell ref="B6:D6"/>
    <mergeCell ref="A18:E18"/>
    <mergeCell ref="A27:E2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14" customWidth="1" min="12" max="12"/>
    <col width="14" customWidth="1" min="13" max="13"/>
    <col width="12" customWidth="1" min="14" max="14"/>
    <col width="30" customWidth="1" min="15" max="15"/>
  </cols>
  <sheetData>
    <row r="1">
      <c r="A1" s="1" t="inlineStr">
        <is>
          <t>账户与持仓逐项核对（含跨币种折算、除权分红调整）</t>
        </is>
      </c>
    </row>
    <row r="3">
      <c r="A3" s="13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11" t="inlineStr">
        <is>
          <t>(1) 账户总额逐项核对</t>
        </is>
      </c>
    </row>
    <row r="6">
      <c r="A6" s="3" t="inlineStr">
        <is>
          <t>项目</t>
        </is>
      </c>
      <c r="B6" s="3" t="inlineStr">
        <is>
          <t>金额 (CNY)</t>
        </is>
      </c>
    </row>
    <row r="7">
      <c r="A7" s="33" t="inlineStr">
        <is>
          <t>持仓市值 (按托管折算)</t>
        </is>
      </c>
      <c r="B7" s="7" t="n">
        <v>869820</v>
      </c>
    </row>
    <row r="8">
      <c r="A8" s="33" t="inlineStr">
        <is>
          <t>人民币现金</t>
        </is>
      </c>
      <c r="B8" s="7" t="n">
        <v>142500</v>
      </c>
    </row>
    <row r="9">
      <c r="A9" s="33" t="inlineStr">
        <is>
          <t>美元现金 (折人民币)</t>
        </is>
      </c>
      <c r="B9" s="7" t="n">
        <v>21540</v>
      </c>
    </row>
    <row r="10">
      <c r="A10" s="33" t="inlineStr">
        <is>
          <t>待扣费用 (预估)</t>
        </is>
      </c>
      <c r="B10" s="7" t="n">
        <v>-1200</v>
      </c>
    </row>
    <row r="11">
      <c r="A11" s="34" t="inlineStr">
        <is>
          <t>托管系统合计</t>
        </is>
      </c>
      <c r="B11" s="9">
        <f>SUM(B7:B10)</f>
        <v/>
      </c>
    </row>
    <row r="12">
      <c r="A12" s="33" t="inlineStr">
        <is>
          <t>组合经理手工合计</t>
        </is>
      </c>
      <c r="B12" s="7" t="n">
        <v>1029000</v>
      </c>
    </row>
    <row r="13">
      <c r="A13" s="35" t="inlineStr">
        <is>
          <t>差额 (托管 - 手工)</t>
        </is>
      </c>
      <c r="B13" s="36">
        <f>B11-B12</f>
        <v/>
      </c>
    </row>
    <row r="16">
      <c r="A16" s="11" t="inlineStr">
        <is>
          <t>(2) 9 笔持仓批次 — 成本、市值、浮盈、权重</t>
        </is>
      </c>
    </row>
    <row r="17">
      <c r="A17" s="3" t="inlineStr">
        <is>
          <t>批次号</t>
        </is>
      </c>
      <c r="B17" s="3" t="inlineStr">
        <is>
          <t>证券ID</t>
        </is>
      </c>
      <c r="C17" s="3" t="inlineStr">
        <is>
          <t>行业</t>
        </is>
      </c>
      <c r="D17" s="3" t="inlineStr">
        <is>
          <t>名称</t>
        </is>
      </c>
      <c r="E17" s="3" t="inlineStr">
        <is>
          <t>数量</t>
        </is>
      </c>
      <c r="F17" s="3" t="inlineStr">
        <is>
          <t>成本价</t>
        </is>
      </c>
      <c r="G17" s="3" t="inlineStr">
        <is>
          <t>当前价</t>
        </is>
      </c>
      <c r="H17" s="3" t="inlineStr">
        <is>
          <t>货币</t>
        </is>
      </c>
      <c r="I17" s="3" t="inlineStr">
        <is>
          <t>汇率</t>
        </is>
      </c>
      <c r="J17" s="3" t="inlineStr">
        <is>
          <t>市值(CNY)</t>
        </is>
      </c>
      <c r="K17" s="3" t="inlineStr">
        <is>
          <t>成本(CNY)</t>
        </is>
      </c>
      <c r="L17" s="3" t="inlineStr">
        <is>
          <t>浮盈(CNY)</t>
        </is>
      </c>
      <c r="M17" s="3" t="inlineStr">
        <is>
          <t>权重(%)</t>
        </is>
      </c>
      <c r="N17" s="3" t="inlineStr">
        <is>
          <t>浮盈率</t>
        </is>
      </c>
      <c r="O17" s="3" t="inlineStr">
        <is>
          <t>备注</t>
        </is>
      </c>
    </row>
    <row r="18">
      <c r="A18" s="12" t="inlineStr">
        <is>
          <t>B01</t>
        </is>
      </c>
      <c r="B18" s="12" t="inlineStr">
        <is>
          <t>P01</t>
        </is>
      </c>
      <c r="C18" s="12" t="inlineStr">
        <is>
          <t>电子</t>
        </is>
      </c>
      <c r="D18" s="12" t="inlineStr">
        <is>
          <t>L1半导体ETF</t>
        </is>
      </c>
      <c r="E18" s="7" t="n">
        <v>3000</v>
      </c>
      <c r="F18" s="18" t="n">
        <v>38.5</v>
      </c>
      <c r="G18" s="18" t="n">
        <v>32.8</v>
      </c>
      <c r="H18" s="12" t="inlineStr">
        <is>
          <t>CNY</t>
        </is>
      </c>
      <c r="I18" s="14" t="n">
        <v>1</v>
      </c>
      <c r="J18" s="7">
        <f>E18*G18*I18</f>
        <v/>
      </c>
      <c r="K18" s="7">
        <f>E18*F18*I18</f>
        <v/>
      </c>
      <c r="L18" s="30">
        <f>J18-K18</f>
        <v/>
      </c>
      <c r="M18" s="37">
        <f>J18/SUM($J$18:$J$26)</f>
        <v/>
      </c>
      <c r="N18" s="38">
        <f>L18/K18</f>
        <v/>
      </c>
      <c r="O18" s="15" t="inlineStr">
        <is>
          <t>第一批次</t>
        </is>
      </c>
    </row>
    <row r="19">
      <c r="A19" s="12" t="inlineStr">
        <is>
          <t>B02</t>
        </is>
      </c>
      <c r="B19" s="12" t="inlineStr">
        <is>
          <t>P01</t>
        </is>
      </c>
      <c r="C19" s="12" t="inlineStr">
        <is>
          <t>电子</t>
        </is>
      </c>
      <c r="D19" s="12" t="inlineStr">
        <is>
          <t>L1半导体ETF</t>
        </is>
      </c>
      <c r="E19" s="7" t="n">
        <v>2000</v>
      </c>
      <c r="F19" s="18" t="n">
        <v>39.8</v>
      </c>
      <c r="G19" s="18" t="n">
        <v>32.8</v>
      </c>
      <c r="H19" s="12" t="inlineStr">
        <is>
          <t>CNY</t>
        </is>
      </c>
      <c r="I19" s="14" t="n">
        <v>1</v>
      </c>
      <c r="J19" s="7">
        <f>E19*G19*I19</f>
        <v/>
      </c>
      <c r="K19" s="7">
        <f>E19*F19*I19</f>
        <v/>
      </c>
      <c r="L19" s="30">
        <f>J19-K19</f>
        <v/>
      </c>
      <c r="M19" s="37">
        <f>J19/SUM($J$18:$J$26)</f>
        <v/>
      </c>
      <c r="N19" s="38">
        <f>L19/K19</f>
        <v/>
      </c>
      <c r="O19" s="15" t="inlineStr">
        <is>
          <t>当日买入(T+1锁定)</t>
        </is>
      </c>
    </row>
    <row r="20">
      <c r="A20" s="12" t="inlineStr">
        <is>
          <t>B03</t>
        </is>
      </c>
      <c r="B20" s="12" t="inlineStr">
        <is>
          <t>P02</t>
        </is>
      </c>
      <c r="C20" s="12" t="inlineStr">
        <is>
          <t>计算机</t>
        </is>
      </c>
      <c r="D20" s="12" t="inlineStr">
        <is>
          <t>软件龙头A</t>
        </is>
      </c>
      <c r="E20" s="7" t="n">
        <v>3000</v>
      </c>
      <c r="F20" s="18" t="n">
        <v>65.2</v>
      </c>
      <c r="G20" s="18" t="n">
        <v>58.4</v>
      </c>
      <c r="H20" s="12" t="inlineStr">
        <is>
          <t>CNY</t>
        </is>
      </c>
      <c r="I20" s="14" t="n">
        <v>1</v>
      </c>
      <c r="J20" s="7">
        <f>E20*G20*I20</f>
        <v/>
      </c>
      <c r="K20" s="7">
        <f>E20*F20*I20</f>
        <v/>
      </c>
      <c r="L20" s="30">
        <f>J20-K20</f>
        <v/>
      </c>
      <c r="M20" s="37">
        <f>J20/SUM($J$18:$J$26)</f>
        <v/>
      </c>
      <c r="N20" s="38">
        <f>L20/K20</f>
        <v/>
      </c>
      <c r="O20" s="15" t="inlineStr">
        <is>
          <t>正常</t>
        </is>
      </c>
    </row>
    <row r="21">
      <c r="A21" s="12" t="inlineStr">
        <is>
          <t>B04</t>
        </is>
      </c>
      <c r="B21" s="12" t="inlineStr">
        <is>
          <t>P03</t>
        </is>
      </c>
      <c r="C21" s="12" t="inlineStr">
        <is>
          <t>医药</t>
        </is>
      </c>
      <c r="D21" s="12" t="inlineStr">
        <is>
          <t>创新药B</t>
        </is>
      </c>
      <c r="E21" s="7" t="n">
        <v>5000</v>
      </c>
      <c r="F21" s="18" t="n">
        <v>11.3</v>
      </c>
      <c r="G21" s="18" t="n">
        <v>9.550000000000001</v>
      </c>
      <c r="H21" s="12" t="inlineStr">
        <is>
          <t>CNY</t>
        </is>
      </c>
      <c r="I21" s="14" t="n">
        <v>1</v>
      </c>
      <c r="J21" s="7">
        <f>E21*G21*I21</f>
        <v/>
      </c>
      <c r="K21" s="7">
        <f>E21*F21*I21</f>
        <v/>
      </c>
      <c r="L21" s="30">
        <f>J21-K21</f>
        <v/>
      </c>
      <c r="M21" s="37">
        <f>J21/SUM($J$18:$J$26)</f>
        <v/>
      </c>
      <c r="N21" s="38">
        <f>L21/K21</f>
        <v/>
      </c>
      <c r="O21" s="15" t="inlineStr">
        <is>
          <t>正常</t>
        </is>
      </c>
    </row>
    <row r="22">
      <c r="A22" s="12" t="inlineStr">
        <is>
          <t>B05</t>
        </is>
      </c>
      <c r="B22" s="12" t="inlineStr">
        <is>
          <t>P04</t>
        </is>
      </c>
      <c r="C22" s="12" t="inlineStr">
        <is>
          <t>通信</t>
        </is>
      </c>
      <c r="D22" s="12" t="inlineStr">
        <is>
          <t>5G设备C</t>
        </is>
      </c>
      <c r="E22" s="7" t="n">
        <v>6000</v>
      </c>
      <c r="F22" s="18" t="n">
        <v>18.8</v>
      </c>
      <c r="G22" s="18" t="n">
        <v>17.6</v>
      </c>
      <c r="H22" s="12" t="inlineStr">
        <is>
          <t>CNY</t>
        </is>
      </c>
      <c r="I22" s="14" t="n">
        <v>1</v>
      </c>
      <c r="J22" s="7">
        <f>E22*G22*I22</f>
        <v/>
      </c>
      <c r="K22" s="7">
        <f>E22*F22*I22</f>
        <v/>
      </c>
      <c r="L22" s="30">
        <f>J22-K22</f>
        <v/>
      </c>
      <c r="M22" s="37">
        <f>J22/SUM($J$18:$J$26)</f>
        <v/>
      </c>
      <c r="N22" s="38">
        <f>L22/K22</f>
        <v/>
      </c>
      <c r="O22" s="15" t="inlineStr">
        <is>
          <t>8/14全天停牌</t>
        </is>
      </c>
    </row>
    <row r="23">
      <c r="A23" s="12" t="inlineStr">
        <is>
          <t>B06</t>
        </is>
      </c>
      <c r="B23" s="12" t="inlineStr">
        <is>
          <t>P05</t>
        </is>
      </c>
      <c r="C23" s="12" t="inlineStr">
        <is>
          <t>计算机</t>
        </is>
      </c>
      <c r="D23" s="12" t="inlineStr">
        <is>
          <t>AI算力D</t>
        </is>
      </c>
      <c r="E23" s="7" t="n">
        <v>1500</v>
      </c>
      <c r="F23" s="18" t="n">
        <v>81.5</v>
      </c>
      <c r="G23" s="18" t="n">
        <v>105</v>
      </c>
      <c r="H23" s="12" t="inlineStr">
        <is>
          <t>CNY</t>
        </is>
      </c>
      <c r="I23" s="14" t="n">
        <v>1</v>
      </c>
      <c r="J23" s="7">
        <f>E23*G23*I23</f>
        <v/>
      </c>
      <c r="K23" s="7">
        <f>E23*F23*I23</f>
        <v/>
      </c>
      <c r="L23" s="30">
        <f>J23-K23</f>
        <v/>
      </c>
      <c r="M23" s="37">
        <f>J23/SUM($J$18:$J$26)</f>
        <v/>
      </c>
      <c r="N23" s="38">
        <f>L23/K23</f>
        <v/>
      </c>
      <c r="O23" s="15" t="inlineStr">
        <is>
          <t>第一批次</t>
        </is>
      </c>
    </row>
    <row r="24">
      <c r="A24" s="12" t="inlineStr">
        <is>
          <t>B07</t>
        </is>
      </c>
      <c r="B24" s="12" t="inlineStr">
        <is>
          <t>P05</t>
        </is>
      </c>
      <c r="C24" s="12" t="inlineStr">
        <is>
          <t>计算机</t>
        </is>
      </c>
      <c r="D24" s="12" t="inlineStr">
        <is>
          <t>AI算力D</t>
        </is>
      </c>
      <c r="E24" s="7" t="n">
        <v>500</v>
      </c>
      <c r="F24" s="18" t="n">
        <v>85.2</v>
      </c>
      <c r="G24" s="18" t="n">
        <v>105</v>
      </c>
      <c r="H24" s="12" t="inlineStr">
        <is>
          <t>CNY</t>
        </is>
      </c>
      <c r="I24" s="14" t="n">
        <v>1</v>
      </c>
      <c r="J24" s="7">
        <f>E24*G24*I24</f>
        <v/>
      </c>
      <c r="K24" s="7">
        <f>E24*F24*I24</f>
        <v/>
      </c>
      <c r="L24" s="30">
        <f>J24-K24</f>
        <v/>
      </c>
      <c r="M24" s="37">
        <f>J24/SUM($J$18:$J$26)</f>
        <v/>
      </c>
      <c r="N24" s="38">
        <f>L24/K24</f>
        <v/>
      </c>
      <c r="O24" s="15" t="inlineStr">
        <is>
          <t>第二批次</t>
        </is>
      </c>
    </row>
    <row r="25">
      <c r="A25" s="12" t="inlineStr">
        <is>
          <t>B08</t>
        </is>
      </c>
      <c r="B25" s="12" t="inlineStr">
        <is>
          <t>P06</t>
        </is>
      </c>
      <c r="C25" s="12" t="inlineStr">
        <is>
          <t>ETF</t>
        </is>
      </c>
      <c r="D25" s="12" t="inlineStr">
        <is>
          <t>红利低波E</t>
        </is>
      </c>
      <c r="E25" s="7" t="n">
        <v>10000</v>
      </c>
      <c r="F25" s="18" t="n">
        <v>3.2</v>
      </c>
      <c r="G25" s="18" t="n">
        <v>2.88</v>
      </c>
      <c r="H25" s="12" t="inlineStr">
        <is>
          <t>CNY</t>
        </is>
      </c>
      <c r="I25" s="14" t="n">
        <v>1</v>
      </c>
      <c r="J25" s="7">
        <f>E25*G25*I25</f>
        <v/>
      </c>
      <c r="K25" s="7">
        <f>E25*F25*I25</f>
        <v/>
      </c>
      <c r="L25" s="30">
        <f>J25-K25</f>
        <v/>
      </c>
      <c r="M25" s="37">
        <f>J25/SUM($J$18:$J$26)</f>
        <v/>
      </c>
      <c r="N25" s="38">
        <f>L25/K25</f>
        <v/>
      </c>
      <c r="O25" s="15" t="inlineStr">
        <is>
          <t>8/12除权 已分红0.80/份</t>
        </is>
      </c>
    </row>
    <row r="26">
      <c r="A26" s="12" t="inlineStr">
        <is>
          <t>B09</t>
        </is>
      </c>
      <c r="B26" s="12" t="inlineStr">
        <is>
          <t>P07</t>
        </is>
      </c>
      <c r="C26" s="12" t="inlineStr">
        <is>
          <t>ETF</t>
        </is>
      </c>
      <c r="D26" s="12" t="inlineStr">
        <is>
          <t>港股通F</t>
        </is>
      </c>
      <c r="E26" s="7" t="n">
        <v>10000</v>
      </c>
      <c r="F26" s="18" t="n">
        <v>15.2</v>
      </c>
      <c r="G26" s="18" t="n">
        <v>14.5</v>
      </c>
      <c r="H26" s="12" t="inlineStr">
        <is>
          <t>HKD</t>
        </is>
      </c>
      <c r="I26" s="14" t="n">
        <v>0.92</v>
      </c>
      <c r="J26" s="7">
        <f>E26*G26*I26</f>
        <v/>
      </c>
      <c r="K26" s="7">
        <f>E26*F26*I26</f>
        <v/>
      </c>
      <c r="L26" s="30">
        <f>J26-K26</f>
        <v/>
      </c>
      <c r="M26" s="37">
        <f>J26/SUM($J$18:$J$26)</f>
        <v/>
      </c>
      <c r="N26" s="38">
        <f>L26/K26</f>
        <v/>
      </c>
      <c r="O26" s="15" t="inlineStr">
        <is>
          <t>港币计价 跨境ETF</t>
        </is>
      </c>
    </row>
    <row r="27">
      <c r="A27" s="16" t="inlineStr">
        <is>
          <t>合计</t>
        </is>
      </c>
      <c r="B27" s="17" t="n"/>
      <c r="C27" s="17" t="n"/>
      <c r="D27" s="17" t="n"/>
      <c r="E27" s="9">
        <f>SUM(E18:E26)</f>
        <v/>
      </c>
      <c r="F27" s="17" t="n"/>
      <c r="G27" s="17" t="n"/>
      <c r="H27" s="17" t="n"/>
      <c r="I27" s="17" t="n"/>
      <c r="J27" s="9">
        <f>SUM(J18:J26)</f>
        <v/>
      </c>
      <c r="K27" s="9">
        <f>SUM(K18:K26)</f>
        <v/>
      </c>
      <c r="L27" s="39">
        <f>SUM(L18:L26)</f>
        <v/>
      </c>
      <c r="M27" s="40">
        <f>SUM(M18:M26)</f>
        <v/>
      </c>
      <c r="N27" s="17" t="n"/>
      <c r="O27" s="17" t="n"/>
    </row>
    <row r="30">
      <c r="A30" s="11" t="inlineStr">
        <is>
          <t>(3) 按行业汇总（市值占比 + 浮盈；含 P06 红利已入账、P07 跨境折算）</t>
        </is>
      </c>
    </row>
    <row r="31">
      <c r="A31" s="3" t="inlineStr">
        <is>
          <t>行业</t>
        </is>
      </c>
      <c r="B31" s="3" t="inlineStr">
        <is>
          <t>笔数</t>
        </is>
      </c>
      <c r="C31" s="3" t="inlineStr">
        <is>
          <t>持仓数量</t>
        </is>
      </c>
      <c r="D31" s="3" t="inlineStr">
        <is>
          <t>市值(CNY)</t>
        </is>
      </c>
      <c r="E31" s="3" t="inlineStr">
        <is>
          <t>占比(%)</t>
        </is>
      </c>
      <c r="F31" s="3" t="inlineStr">
        <is>
          <t>成本(CNY)</t>
        </is>
      </c>
      <c r="G31" s="3" t="inlineStr">
        <is>
          <t>浮盈(CNY)</t>
        </is>
      </c>
      <c r="H31" s="3" t="inlineStr">
        <is>
          <t>浮盈率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—</t>
        </is>
      </c>
    </row>
    <row r="32">
      <c r="A32" s="6" t="inlineStr">
        <is>
          <t>电子</t>
        </is>
      </c>
      <c r="B32" s="7">
        <f>COUNTIF(C18:C26,A32)</f>
        <v/>
      </c>
      <c r="C32" s="7">
        <f>SUMIF(C18:C26,A32,E18:E26)</f>
        <v/>
      </c>
      <c r="D32" s="7">
        <f>SUMIF(C18:C26,A32,J18:J26)</f>
        <v/>
      </c>
      <c r="E32" s="37">
        <f>D32/SUM($D$32:$D$37)</f>
        <v/>
      </c>
      <c r="F32" s="7">
        <f>SUMIF(C18:C26,A32,K18:K26)</f>
        <v/>
      </c>
      <c r="G32" s="30">
        <f>SUMIF(C18:C26,A32,L18:L26)</f>
        <v/>
      </c>
      <c r="H32" s="38">
        <f>G32/F32</f>
        <v/>
      </c>
    </row>
    <row r="33">
      <c r="A33" s="6" t="inlineStr">
        <is>
          <t>计算机</t>
        </is>
      </c>
      <c r="B33" s="7">
        <f>COUNTIF(C18:C26,A33)</f>
        <v/>
      </c>
      <c r="C33" s="7">
        <f>SUMIF(C18:C26,A33,E18:E26)</f>
        <v/>
      </c>
      <c r="D33" s="7">
        <f>SUMIF(C18:C26,A33,J18:J26)</f>
        <v/>
      </c>
      <c r="E33" s="37">
        <f>D33/SUM($D$32:$D$37)</f>
        <v/>
      </c>
      <c r="F33" s="7">
        <f>SUMIF(C18:C26,A33,K18:K26)</f>
        <v/>
      </c>
      <c r="G33" s="30">
        <f>SUMIF(C18:C26,A33,L18:L26)</f>
        <v/>
      </c>
      <c r="H33" s="38">
        <f>G33/F33</f>
        <v/>
      </c>
    </row>
    <row r="34">
      <c r="A34" s="6" t="inlineStr">
        <is>
          <t>医药</t>
        </is>
      </c>
      <c r="B34" s="7">
        <f>COUNTIF(C18:C26,A34)</f>
        <v/>
      </c>
      <c r="C34" s="7">
        <f>SUMIF(C18:C26,A34,E18:E26)</f>
        <v/>
      </c>
      <c r="D34" s="7">
        <f>SUMIF(C18:C26,A34,J18:J26)</f>
        <v/>
      </c>
      <c r="E34" s="37">
        <f>D34/SUM($D$32:$D$37)</f>
        <v/>
      </c>
      <c r="F34" s="7">
        <f>SUMIF(C18:C26,A34,K18:K26)</f>
        <v/>
      </c>
      <c r="G34" s="30">
        <f>SUMIF(C18:C26,A34,L18:L26)</f>
        <v/>
      </c>
      <c r="H34" s="38">
        <f>G34/F34</f>
        <v/>
      </c>
    </row>
    <row r="35">
      <c r="A35" s="6" t="inlineStr">
        <is>
          <t>通信</t>
        </is>
      </c>
      <c r="B35" s="7">
        <f>COUNTIF(C18:C26,A35)</f>
        <v/>
      </c>
      <c r="C35" s="7">
        <f>SUMIF(C18:C26,A35,E18:E26)</f>
        <v/>
      </c>
      <c r="D35" s="7">
        <f>SUMIF(C18:C26,A35,J18:J26)</f>
        <v/>
      </c>
      <c r="E35" s="37">
        <f>D35/SUM($D$32:$D$37)</f>
        <v/>
      </c>
      <c r="F35" s="7">
        <f>SUMIF(C18:C26,A35,K18:K26)</f>
        <v/>
      </c>
      <c r="G35" s="30">
        <f>SUMIF(C18:C26,A35,L18:L26)</f>
        <v/>
      </c>
      <c r="H35" s="38">
        <f>G35/F35</f>
        <v/>
      </c>
    </row>
    <row r="36">
      <c r="A36" s="6" t="inlineStr">
        <is>
          <t>ETF-红利</t>
        </is>
      </c>
      <c r="B36" s="7">
        <f>COUNTIF(C18:C26,A36)</f>
        <v/>
      </c>
      <c r="C36" s="7">
        <f>SUMIF(C18:C26,A36,E18:E26)</f>
        <v/>
      </c>
      <c r="D36" s="7">
        <f>SUMIF(C18:C26,A36,J18:J26)</f>
        <v/>
      </c>
      <c r="E36" s="37">
        <f>D36/SUM($D$32:$D$37)</f>
        <v/>
      </c>
      <c r="F36" s="7">
        <f>SUMIF(C18:C26,A36,K18:K26)</f>
        <v/>
      </c>
      <c r="G36" s="30">
        <f>SUMIF(C18:C26,A36,L18:L26)</f>
        <v/>
      </c>
      <c r="H36" s="38">
        <f>G36/F36</f>
        <v/>
      </c>
    </row>
    <row r="37">
      <c r="A37" s="6" t="inlineStr">
        <is>
          <t>ETF-跨境</t>
        </is>
      </c>
      <c r="B37" s="7">
        <f>COUNTIF(C18:C26,A37)</f>
        <v/>
      </c>
      <c r="C37" s="7">
        <f>SUMIF(C18:C26,A37,E18:E26)</f>
        <v/>
      </c>
      <c r="D37" s="7">
        <f>SUMIF(C18:C26,A37,J18:J26)</f>
        <v/>
      </c>
      <c r="E37" s="37">
        <f>D37/SUM($D$32:$D$37)</f>
        <v/>
      </c>
      <c r="F37" s="7">
        <f>SUMIF(C18:C26,A37,K18:K26)</f>
        <v/>
      </c>
      <c r="G37" s="30">
        <f>SUMIF(C18:C26,A37,L18:L26)</f>
        <v/>
      </c>
      <c r="H37" s="38">
        <f>G37/F37</f>
        <v/>
      </c>
    </row>
    <row r="38">
      <c r="A38" s="41" t="inlineStr">
        <is>
          <t>合计</t>
        </is>
      </c>
      <c r="B38" s="9">
        <f>SUM(B32:B37)</f>
        <v/>
      </c>
      <c r="C38" s="9">
        <f>SUM(C32:C37)</f>
        <v/>
      </c>
      <c r="D38" s="9">
        <f>SUM(D32:D37)</f>
        <v/>
      </c>
      <c r="E38" s="40">
        <f>SUM(E32:E37)</f>
        <v/>
      </c>
      <c r="F38" s="9">
        <f>SUM(F32:F37)</f>
        <v/>
      </c>
      <c r="G38" s="39">
        <f>SUM(G32:G37)</f>
        <v/>
      </c>
      <c r="H38" s="42">
        <f>G38/F38</f>
        <v/>
      </c>
    </row>
    <row r="40" ht="30" customHeight="1">
      <c r="A40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</sheetData>
  <mergeCells count="6">
    <mergeCell ref="A16:O16"/>
    <mergeCell ref="A1:O1"/>
    <mergeCell ref="A5:O5"/>
    <mergeCell ref="A40:O40"/>
    <mergeCell ref="A3:O3"/>
    <mergeCell ref="A30:O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可卖数量与异常状态核对（每只证券）</t>
        </is>
      </c>
    </row>
    <row r="3">
      <c r="A3" s="13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3" t="inlineStr">
        <is>
          <t>证券ID</t>
        </is>
      </c>
      <c r="B5" s="3" t="inlineStr">
        <is>
          <t>名称</t>
        </is>
      </c>
      <c r="C5" s="3" t="inlineStr">
        <is>
          <t>持仓</t>
        </is>
      </c>
      <c r="D5" s="3" t="inlineStr">
        <is>
          <t>T+1锁定</t>
        </is>
      </c>
      <c r="E5" s="3" t="inlineStr">
        <is>
          <t>跌停封板</t>
        </is>
      </c>
      <c r="F5" s="3" t="inlineStr">
        <is>
          <t>停牌</t>
        </is>
      </c>
      <c r="G5" s="3" t="inlineStr">
        <is>
          <t>其他受限</t>
        </is>
      </c>
      <c r="H5" s="3" t="inlineStr">
        <is>
          <t>实际可卖</t>
        </is>
      </c>
      <c r="I5" s="3" t="inlineStr">
        <is>
          <t>是否可成交</t>
        </is>
      </c>
      <c r="J5" s="3" t="inlineStr">
        <is>
          <t>说明</t>
        </is>
      </c>
    </row>
    <row r="6">
      <c r="A6" s="12" t="inlineStr">
        <is>
          <t>P01</t>
        </is>
      </c>
      <c r="B6" s="12" t="inlineStr">
        <is>
          <t>L1半导体ETF</t>
        </is>
      </c>
      <c r="C6" s="7" t="n">
        <v>5000</v>
      </c>
      <c r="D6" s="7" t="n">
        <v>2000</v>
      </c>
      <c r="E6" s="7" t="n">
        <v>0</v>
      </c>
      <c r="F6" s="7" t="n">
        <v>0</v>
      </c>
      <c r="G6" s="7" t="n">
        <v>0</v>
      </c>
      <c r="H6" s="7" t="n">
        <v>3000</v>
      </c>
      <c r="I6" s="19" t="inlineStr">
        <is>
          <t>可成交</t>
        </is>
      </c>
      <c r="J6" s="15" t="inlineStr">
        <is>
          <t>T+1锁定2000</t>
        </is>
      </c>
    </row>
    <row r="7">
      <c r="A7" s="12" t="inlineStr">
        <is>
          <t>P02</t>
        </is>
      </c>
      <c r="B7" s="12" t="inlineStr">
        <is>
          <t>软件龙头A</t>
        </is>
      </c>
      <c r="C7" s="7" t="n">
        <v>3000</v>
      </c>
      <c r="D7" s="7" t="n">
        <v>0</v>
      </c>
      <c r="E7" s="7" t="n">
        <v>3000</v>
      </c>
      <c r="F7" s="7" t="n">
        <v>0</v>
      </c>
      <c r="G7" s="7" t="n">
        <v>0</v>
      </c>
      <c r="H7" s="7" t="n">
        <v>0</v>
      </c>
      <c r="I7" s="19" t="inlineStr">
        <is>
          <t>部分可成交</t>
        </is>
      </c>
      <c r="J7" s="15" t="inlineStr">
        <is>
          <t>收盘跌停封板；次日成交不确定</t>
        </is>
      </c>
    </row>
    <row r="8">
      <c r="A8" s="12" t="inlineStr">
        <is>
          <t>P03</t>
        </is>
      </c>
      <c r="B8" s="12" t="inlineStr">
        <is>
          <t>创新药B</t>
        </is>
      </c>
      <c r="C8" s="7" t="n">
        <v>5000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5000</v>
      </c>
      <c r="I8" s="43" t="inlineStr">
        <is>
          <t>可成交</t>
        </is>
      </c>
      <c r="J8" s="15" t="inlineStr">
        <is>
          <t>正常</t>
        </is>
      </c>
    </row>
    <row r="9">
      <c r="A9" s="12" t="inlineStr">
        <is>
          <t>P04</t>
        </is>
      </c>
      <c r="B9" s="12" t="inlineStr">
        <is>
          <t>5G设备C</t>
        </is>
      </c>
      <c r="C9" s="7" t="n">
        <v>6000</v>
      </c>
      <c r="D9" s="7" t="n">
        <v>0</v>
      </c>
      <c r="E9" s="7" t="n">
        <v>0</v>
      </c>
      <c r="F9" s="7" t="n">
        <v>6000</v>
      </c>
      <c r="G9" s="7" t="n">
        <v>0</v>
      </c>
      <c r="H9" s="7" t="n">
        <v>0</v>
      </c>
      <c r="I9" s="20" t="inlineStr">
        <is>
          <t>无法成交</t>
        </is>
      </c>
      <c r="J9" s="15" t="inlineStr">
        <is>
          <t>全天停牌 复牌日未明</t>
        </is>
      </c>
    </row>
    <row r="10">
      <c r="A10" s="12" t="inlineStr">
        <is>
          <t>P05</t>
        </is>
      </c>
      <c r="B10" s="12" t="inlineStr">
        <is>
          <t>AI算力D</t>
        </is>
      </c>
      <c r="C10" s="7" t="n">
        <v>2000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2000</v>
      </c>
      <c r="I10" s="43" t="inlineStr">
        <is>
          <t>可成交</t>
        </is>
      </c>
      <c r="J10" s="15" t="inlineStr">
        <is>
          <t>正常</t>
        </is>
      </c>
    </row>
    <row r="11">
      <c r="A11" s="12" t="inlineStr">
        <is>
          <t>P06</t>
        </is>
      </c>
      <c r="B11" s="12" t="inlineStr">
        <is>
          <t>红利低波E</t>
        </is>
      </c>
      <c r="C11" s="7" t="n">
        <v>10000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10000</v>
      </c>
      <c r="I11" s="43" t="inlineStr">
        <is>
          <t>可成交</t>
        </is>
      </c>
      <c r="J11" s="15" t="inlineStr">
        <is>
          <t>已除权 价格按除权后2.88</t>
        </is>
      </c>
    </row>
    <row r="12">
      <c r="A12" s="12" t="inlineStr">
        <is>
          <t>P07</t>
        </is>
      </c>
      <c r="B12" s="12" t="inlineStr">
        <is>
          <t>港股通F</t>
        </is>
      </c>
      <c r="C12" s="7" t="n">
        <v>10000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10000</v>
      </c>
      <c r="I12" s="43" t="inlineStr">
        <is>
          <t>可成交</t>
        </is>
      </c>
      <c r="J12" s="15" t="inlineStr">
        <is>
          <t>HKD计价 跨境</t>
        </is>
      </c>
    </row>
    <row r="13">
      <c r="A13" s="16" t="inlineStr">
        <is>
          <t>合计</t>
        </is>
      </c>
      <c r="B13" s="17" t="n"/>
      <c r="C13" s="9">
        <f>SUM(C6:C12)</f>
        <v/>
      </c>
      <c r="D13" s="9">
        <f>SUM(D6:D12)</f>
        <v/>
      </c>
      <c r="E13" s="9">
        <f>SUM(E6:E12)</f>
        <v/>
      </c>
      <c r="F13" s="9">
        <f>SUM(F6:F12)</f>
        <v/>
      </c>
      <c r="G13" s="9">
        <f>SUM(G6:G12)</f>
        <v/>
      </c>
      <c r="H13" s="9">
        <f>SUM(H6:H12)</f>
        <v/>
      </c>
      <c r="I13" s="17" t="n"/>
      <c r="J13" s="17" t="n"/>
    </row>
    <row r="15">
      <c r="A15" s="11" t="inlineStr">
        <is>
          <t>异常状态分布</t>
        </is>
      </c>
    </row>
    <row r="16">
      <c r="A16" s="3" t="inlineStr">
        <is>
          <t>异常类型</t>
        </is>
      </c>
      <c r="B16" s="3" t="inlineStr">
        <is>
          <t>证券数</t>
        </is>
      </c>
      <c r="C16" s="3" t="inlineStr">
        <is>
          <t>锁定股数</t>
        </is>
      </c>
      <c r="D16" s="3" t="inlineStr">
        <is>
          <t>占可卖比例 (相对总持仓)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说明</t>
        </is>
      </c>
    </row>
    <row r="17">
      <c r="A17" s="12" t="inlineStr">
        <is>
          <t>T+1 当日买入</t>
        </is>
      </c>
      <c r="B17" s="7" t="n">
        <v>1</v>
      </c>
      <c r="C17" s="7" t="n">
        <v>2000</v>
      </c>
      <c r="D17" s="37">
        <f>C17/SUM(C13:C13)</f>
        <v/>
      </c>
      <c r="E17" s="12" t="n"/>
      <c r="F17" s="12" t="n"/>
      <c r="G17" s="12" t="n"/>
      <c r="H17" s="12" t="n"/>
      <c r="I17" s="12" t="n"/>
      <c r="J17" s="15" t="inlineStr">
        <is>
          <t>P01 占其持仓 40%，需等 2026-09-14 解锁</t>
        </is>
      </c>
    </row>
    <row r="18">
      <c r="A18" s="12" t="inlineStr">
        <is>
          <t>收盘跌停封板</t>
        </is>
      </c>
      <c r="B18" s="7" t="n">
        <v>1</v>
      </c>
      <c r="C18" s="7" t="n">
        <v>3000</v>
      </c>
      <c r="D18" s="37">
        <f>C18/SUM(C13:C13)</f>
        <v/>
      </c>
      <c r="E18" s="12" t="n"/>
      <c r="F18" s="12" t="n"/>
      <c r="G18" s="12" t="n"/>
      <c r="H18" s="12" t="n"/>
      <c r="I18" s="12" t="n"/>
      <c r="J18" s="15" t="inlineStr">
        <is>
          <t>P02 次日开盘成交不确定；触发'无法成交'分支</t>
        </is>
      </c>
    </row>
    <row r="19">
      <c r="A19" s="12" t="inlineStr">
        <is>
          <t>全天停牌</t>
        </is>
      </c>
      <c r="B19" s="7" t="n">
        <v>1</v>
      </c>
      <c r="C19" s="7" t="n">
        <v>6000</v>
      </c>
      <c r="D19" s="37">
        <f>C19/SUM(C13:C13)</f>
        <v/>
      </c>
      <c r="E19" s="12" t="n"/>
      <c r="F19" s="12" t="n"/>
      <c r="G19" s="12" t="n"/>
      <c r="H19" s="12" t="n"/>
      <c r="I19" s="12" t="n"/>
      <c r="J19" s="15" t="inlineStr">
        <is>
          <t>P04 可卖=0；不计入可执行减持；纳入'待复牌观察'</t>
        </is>
      </c>
    </row>
    <row r="20">
      <c r="A20" s="12" t="inlineStr">
        <is>
          <t>已除权/已分红</t>
        </is>
      </c>
      <c r="B20" s="7" t="n">
        <v>1</v>
      </c>
      <c r="C20" s="7" t="n">
        <v>0</v>
      </c>
      <c r="D20" s="37">
        <f>C20/SUM(C13:C13)</f>
        <v/>
      </c>
      <c r="E20" s="12" t="n"/>
      <c r="F20" s="12" t="n"/>
      <c r="G20" s="12" t="n"/>
      <c r="H20" s="12" t="n"/>
      <c r="I20" s="12" t="n"/>
      <c r="J20" s="15" t="inlineStr">
        <is>
          <t>P06 价格按除权后 2.88 入账；分红已入账</t>
        </is>
      </c>
    </row>
    <row r="21">
      <c r="A21" s="12" t="inlineStr">
        <is>
          <t>跨境币种</t>
        </is>
      </c>
      <c r="B21" s="7" t="n">
        <v>1</v>
      </c>
      <c r="C21" s="7" t="n">
        <v>0</v>
      </c>
      <c r="D21" s="37">
        <f>C21/SUM(C13:C13)</f>
        <v/>
      </c>
      <c r="E21" s="12" t="n"/>
      <c r="F21" s="12" t="n"/>
      <c r="G21" s="12" t="n"/>
      <c r="H21" s="12" t="n"/>
      <c r="I21" s="12" t="n"/>
      <c r="J21" s="15" t="inlineStr">
        <is>
          <t>P07 港币计价；按 0.92 HKD/CNY 折算</t>
        </is>
      </c>
    </row>
    <row r="24">
      <c r="A24" s="11" t="inlineStr">
        <is>
          <t>流动性券源汇总 (可用于覆盖 5 万元转出的可卖券)</t>
        </is>
      </c>
    </row>
    <row r="25">
      <c r="A25" s="3" t="inlineStr">
        <is>
          <t>证券ID</t>
        </is>
      </c>
      <c r="B25" s="3" t="inlineStr">
        <is>
          <t>名称</t>
        </is>
      </c>
      <c r="C25" s="3" t="inlineStr">
        <is>
          <t>实际可卖</t>
        </is>
      </c>
      <c r="D25" s="3" t="inlineStr">
        <is>
          <t>当前价</t>
        </is>
      </c>
      <c r="E25" s="3" t="inlineStr">
        <is>
          <t>可变现 (CNY)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备注</t>
        </is>
      </c>
    </row>
    <row r="26">
      <c r="A26" s="12" t="inlineStr">
        <is>
          <t>P03</t>
        </is>
      </c>
      <c r="B26" s="12" t="inlineStr">
        <is>
          <t>创新药B</t>
        </is>
      </c>
      <c r="C26" s="7" t="n">
        <v>5000</v>
      </c>
      <c r="D26" s="18" t="n">
        <v>9.550000000000001</v>
      </c>
      <c r="E26" s="7" t="n">
        <v>47750</v>
      </c>
      <c r="F26" s="12" t="n"/>
      <c r="G26" s="12" t="n"/>
      <c r="H26" s="12" t="n"/>
      <c r="I26" s="12" t="n"/>
      <c r="J26" s="15" t="inlineStr">
        <is>
          <t>低风险、价格低、变现快</t>
        </is>
      </c>
    </row>
    <row r="27">
      <c r="A27" s="12" t="inlineStr">
        <is>
          <t>P06</t>
        </is>
      </c>
      <c r="B27" s="12" t="inlineStr">
        <is>
          <t>红利低波E</t>
        </is>
      </c>
      <c r="C27" s="7" t="n">
        <v>10000</v>
      </c>
      <c r="D27" s="18" t="n">
        <v>2.88</v>
      </c>
      <c r="E27" s="7" t="n">
        <v>28800</v>
      </c>
      <c r="F27" s="12" t="n"/>
      <c r="G27" s="12" t="n"/>
      <c r="H27" s="12" t="n"/>
      <c r="I27" s="12" t="n"/>
      <c r="J27" s="15" t="inlineStr">
        <is>
          <t>红利 ETF，可分批变现</t>
        </is>
      </c>
    </row>
    <row r="28">
      <c r="A28" s="12" t="inlineStr">
        <is>
          <t>P07</t>
        </is>
      </c>
      <c r="B28" s="12" t="inlineStr">
        <is>
          <t>港股通F</t>
        </is>
      </c>
      <c r="C28" s="7" t="n">
        <v>10000</v>
      </c>
      <c r="D28" s="18" t="n">
        <v>14.5</v>
      </c>
      <c r="E28" s="7" t="n">
        <v>133400</v>
      </c>
      <c r="F28" s="12" t="n"/>
      <c r="G28" s="12" t="n"/>
      <c r="H28" s="12" t="n"/>
      <c r="I28" s="12" t="n"/>
      <c r="J28" s="15" t="inlineStr">
        <is>
          <t>港币 ETF，跨境结算需 T+2</t>
        </is>
      </c>
    </row>
    <row r="29">
      <c r="A29" s="12" t="inlineStr">
        <is>
          <t>P01</t>
        </is>
      </c>
      <c r="B29" s="12" t="inlineStr">
        <is>
          <t>L1半导体ETF</t>
        </is>
      </c>
      <c r="C29" s="7" t="n">
        <v>3000</v>
      </c>
      <c r="D29" s="18" t="n">
        <v>32.8</v>
      </c>
      <c r="E29" s="7" t="n">
        <v>98399.99999999999</v>
      </c>
      <c r="F29" s="12" t="n"/>
      <c r="G29" s="12" t="n"/>
      <c r="H29" s="12" t="n"/>
      <c r="I29" s="12" t="n"/>
      <c r="J29" s="15" t="inlineStr">
        <is>
          <t>T+1 后可卖 (2026-09-14)</t>
        </is>
      </c>
    </row>
    <row r="30">
      <c r="A30" s="12" t="inlineStr">
        <is>
          <t>P05</t>
        </is>
      </c>
      <c r="B30" s="12" t="inlineStr">
        <is>
          <t>AI算力D</t>
        </is>
      </c>
      <c r="C30" s="7" t="n">
        <v>2000</v>
      </c>
      <c r="D30" s="18" t="n">
        <v>105</v>
      </c>
      <c r="E30" s="7" t="n">
        <v>210000</v>
      </c>
      <c r="F30" s="12" t="n"/>
      <c r="G30" s="12" t="n"/>
      <c r="H30" s="12" t="n"/>
      <c r="I30" s="12" t="n"/>
      <c r="J30" s="15" t="inlineStr">
        <is>
          <t>高单价，仅建议小幅减持</t>
        </is>
      </c>
    </row>
    <row r="31">
      <c r="A31" s="12" t="inlineStr">
        <is>
          <t>P02</t>
        </is>
      </c>
      <c r="B31" s="12" t="inlineStr">
        <is>
          <t>软件龙头A</t>
        </is>
      </c>
      <c r="C31" s="7" t="n">
        <v>0</v>
      </c>
      <c r="D31" s="18" t="n">
        <v>58.4</v>
      </c>
      <c r="E31" s="7" t="n">
        <v>0</v>
      </c>
      <c r="F31" s="12" t="n"/>
      <c r="G31" s="12" t="n"/>
      <c r="H31" s="12" t="n"/>
      <c r="I31" s="12" t="n"/>
      <c r="J31" s="15" t="inlineStr">
        <is>
          <t>跌停封板,本日无法成交</t>
        </is>
      </c>
    </row>
    <row r="32">
      <c r="A32" s="12" t="inlineStr">
        <is>
          <t>P04</t>
        </is>
      </c>
      <c r="B32" s="12" t="inlineStr">
        <is>
          <t>5G设备C</t>
        </is>
      </c>
      <c r="C32" s="7" t="n">
        <v>0</v>
      </c>
      <c r="D32" s="18" t="n">
        <v>17.6</v>
      </c>
      <c r="E32" s="7" t="n">
        <v>0</v>
      </c>
      <c r="F32" s="12" t="n"/>
      <c r="G32" s="12" t="n"/>
      <c r="H32" s="12" t="n"/>
      <c r="I32" s="12" t="n"/>
      <c r="J32" s="15" t="inlineStr">
        <is>
          <t>停牌,可卖=0</t>
        </is>
      </c>
    </row>
    <row r="33">
      <c r="A33" s="41" t="inlineStr">
        <is>
          <t>合计可变现</t>
        </is>
      </c>
      <c r="B33" s="41" t="n"/>
      <c r="C33" s="9">
        <f>SUM(C26:C32)</f>
        <v/>
      </c>
      <c r="D33" s="41" t="n"/>
      <c r="E33" s="9">
        <f>SUM(E26:E32)</f>
        <v/>
      </c>
      <c r="F33" s="41" t="n"/>
      <c r="G33" s="41" t="n"/>
      <c r="H33" s="41" t="n"/>
      <c r="I33" s="41" t="n"/>
      <c r="J33" s="41" t="n"/>
    </row>
    <row r="35">
      <c r="A35" s="44" t="inlineStr">
        <is>
          <t>对比 5 万元转出需求</t>
        </is>
      </c>
      <c r="B35" s="45" t="inlineStr">
        <is>
          <t>需转出金额</t>
        </is>
      </c>
      <c r="C35" s="46" t="n">
        <v>50000</v>
      </c>
    </row>
    <row r="36">
      <c r="B36" s="45" t="inlineStr">
        <is>
          <t>可变现合计 (除 P02/P04)</t>
        </is>
      </c>
      <c r="C36" s="46">
        <f>E33-E31-E32</f>
        <v/>
      </c>
    </row>
    <row r="37">
      <c r="B37" s="44" t="inlineStr">
        <is>
          <t>差额 (可变现 - 需转出)</t>
        </is>
      </c>
      <c r="C37" s="47">
        <f>C36-C35</f>
        <v/>
      </c>
    </row>
    <row r="39" ht="30" customHeight="1">
      <c r="A39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</sheetData>
  <mergeCells count="5">
    <mergeCell ref="A1:J1"/>
    <mergeCell ref="A3:J3"/>
    <mergeCell ref="A39:J39"/>
    <mergeCell ref="A15:J15"/>
    <mergeCell ref="A24:J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s="1" t="inlineStr">
        <is>
          <t>集中度与外币诊断（含行业、单股、相关系数）</t>
        </is>
      </c>
    </row>
    <row r="3">
      <c r="A3" s="13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11" t="inlineStr">
        <is>
          <t>(1) 行业集中度（与 30% 阈值对比）</t>
        </is>
      </c>
    </row>
    <row r="6">
      <c r="A6" s="3" t="inlineStr">
        <is>
          <t>行业</t>
        </is>
      </c>
      <c r="B6" s="3" t="inlineStr">
        <is>
          <t>市值(CNY)</t>
        </is>
      </c>
      <c r="C6" s="3" t="inlineStr">
        <is>
          <t>占比</t>
        </is>
      </c>
      <c r="D6" s="3" t="inlineStr">
        <is>
          <t>阈值</t>
        </is>
      </c>
      <c r="E6" s="3" t="inlineStr">
        <is>
          <t>偏离 (pp)</t>
        </is>
      </c>
      <c r="F6" s="3" t="inlineStr">
        <is>
          <t>判定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说明</t>
        </is>
      </c>
    </row>
    <row r="7">
      <c r="A7" s="4" t="inlineStr">
        <is>
          <t>计算机</t>
        </is>
      </c>
      <c r="B7" s="7" t="n">
        <v>326700</v>
      </c>
      <c r="C7" s="5" t="inlineStr">
        <is>
          <t>37.55%</t>
        </is>
      </c>
      <c r="D7" s="5" t="inlineStr">
        <is>
          <t>30%</t>
        </is>
      </c>
      <c r="E7" s="5" t="inlineStr">
        <is>
          <t>+7.55pp</t>
        </is>
      </c>
      <c r="F7" s="20" t="inlineStr">
        <is>
          <t>超限</t>
        </is>
      </c>
      <c r="I7" s="15" t="inlineStr">
        <is>
          <t>P05 + P02 合计,需减持</t>
        </is>
      </c>
    </row>
    <row r="8">
      <c r="A8" s="4" t="inlineStr">
        <is>
          <t>电子</t>
        </is>
      </c>
      <c r="B8" s="7" t="n">
        <v>164000</v>
      </c>
      <c r="C8" s="5" t="inlineStr">
        <is>
          <t>18.85%</t>
        </is>
      </c>
      <c r="D8" s="5" t="inlineStr">
        <is>
          <t>30%</t>
        </is>
      </c>
      <c r="E8" s="5" t="inlineStr">
        <is>
          <t>-11.15pp</t>
        </is>
      </c>
      <c r="F8" s="43" t="inlineStr">
        <is>
          <t>合规</t>
        </is>
      </c>
      <c r="I8" s="15" t="inlineStr">
        <is>
          <t>P01</t>
        </is>
      </c>
    </row>
    <row r="9">
      <c r="A9" s="4" t="inlineStr">
        <is>
          <t>ETF-红利</t>
        </is>
      </c>
      <c r="B9" s="7" t="n">
        <v>28800</v>
      </c>
      <c r="C9" s="5" t="inlineStr">
        <is>
          <t>3.31%</t>
        </is>
      </c>
      <c r="D9" s="5" t="inlineStr">
        <is>
          <t>30%</t>
        </is>
      </c>
      <c r="E9" s="5" t="inlineStr">
        <is>
          <t>-26.69pp</t>
        </is>
      </c>
      <c r="F9" s="43" t="inlineStr">
        <is>
          <t>合规</t>
        </is>
      </c>
      <c r="I9" s="15" t="inlineStr">
        <is>
          <t>P06</t>
        </is>
      </c>
    </row>
    <row r="10">
      <c r="A10" s="4" t="inlineStr">
        <is>
          <t>医药</t>
        </is>
      </c>
      <c r="B10" s="7" t="n">
        <v>47750</v>
      </c>
      <c r="C10" s="5" t="inlineStr">
        <is>
          <t>5.49%</t>
        </is>
      </c>
      <c r="D10" s="5" t="inlineStr">
        <is>
          <t>30%</t>
        </is>
      </c>
      <c r="E10" s="5" t="inlineStr">
        <is>
          <t>-24.51pp</t>
        </is>
      </c>
      <c r="F10" s="43" t="inlineStr">
        <is>
          <t>合规</t>
        </is>
      </c>
      <c r="I10" s="15" t="inlineStr">
        <is>
          <t>P03</t>
        </is>
      </c>
    </row>
    <row r="11">
      <c r="A11" s="4" t="inlineStr">
        <is>
          <t>通信</t>
        </is>
      </c>
      <c r="B11" s="7" t="n">
        <v>105600</v>
      </c>
      <c r="C11" s="5" t="inlineStr">
        <is>
          <t>12.14%</t>
        </is>
      </c>
      <c r="D11" s="5" t="inlineStr">
        <is>
          <t>30%</t>
        </is>
      </c>
      <c r="E11" s="5" t="inlineStr">
        <is>
          <t>-17.86pp</t>
        </is>
      </c>
      <c r="F11" s="43" t="inlineStr">
        <is>
          <t>合规</t>
        </is>
      </c>
      <c r="I11" s="15" t="inlineStr">
        <is>
          <t>P04 停牌</t>
        </is>
      </c>
    </row>
    <row r="12">
      <c r="A12" s="4" t="inlineStr">
        <is>
          <t>ETF-跨境</t>
        </is>
      </c>
      <c r="B12" s="7" t="n">
        <v>133400</v>
      </c>
      <c r="C12" s="5" t="inlineStr">
        <is>
          <t>15.33%</t>
        </is>
      </c>
      <c r="D12" s="5" t="inlineStr">
        <is>
          <t>30%</t>
        </is>
      </c>
      <c r="E12" s="5" t="inlineStr">
        <is>
          <t>-14.67pp</t>
        </is>
      </c>
      <c r="F12" s="43" t="inlineStr">
        <is>
          <t>合规</t>
        </is>
      </c>
      <c r="I12" s="15" t="inlineStr">
        <is>
          <t>P07 港币ETF</t>
        </is>
      </c>
    </row>
    <row r="15">
      <c r="A15" s="11" t="inlineStr">
        <is>
          <t>(2) 证券风险等级分布</t>
        </is>
      </c>
    </row>
    <row r="16">
      <c r="A16" s="3" t="inlineStr">
        <is>
          <t>风险等级</t>
        </is>
      </c>
      <c r="B16" s="3" t="inlineStr">
        <is>
          <t>数量</t>
        </is>
      </c>
      <c r="C16" s="3" t="inlineStr">
        <is>
          <t>占比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说明</t>
        </is>
      </c>
    </row>
    <row r="17">
      <c r="A17" s="4" t="inlineStr">
        <is>
          <t>高</t>
        </is>
      </c>
      <c r="B17" s="7" t="n">
        <v>2</v>
      </c>
      <c r="C17" s="37">
        <f>B17/SUM($B$17:$B$20)</f>
        <v/>
      </c>
      <c r="I17" s="15" t="inlineStr">
        <is>
          <t>P02 (软件龙头) + P05 (AI算力)</t>
        </is>
      </c>
    </row>
    <row r="18">
      <c r="A18" s="4" t="inlineStr">
        <is>
          <t>中高</t>
        </is>
      </c>
      <c r="B18" s="7" t="n">
        <v>2</v>
      </c>
      <c r="C18" s="37">
        <f>B18/SUM($B$17:$B$20)</f>
        <v/>
      </c>
      <c r="I18" s="15" t="inlineStr">
        <is>
          <t>P01 (半导体ETF) + P07 (港股通ETF)</t>
        </is>
      </c>
    </row>
    <row r="19">
      <c r="A19" s="4" t="inlineStr">
        <is>
          <t>中</t>
        </is>
      </c>
      <c r="B19" s="7" t="n">
        <v>2</v>
      </c>
      <c r="C19" s="37">
        <f>B19/SUM($B$17:$B$20)</f>
        <v/>
      </c>
      <c r="I19" s="15" t="inlineStr">
        <is>
          <t>P03 (创新药) + P04 (5G)</t>
        </is>
      </c>
    </row>
    <row r="20">
      <c r="A20" s="4" t="inlineStr">
        <is>
          <t>低</t>
        </is>
      </c>
      <c r="B20" s="7" t="n">
        <v>1</v>
      </c>
      <c r="C20" s="37">
        <f>B20/SUM($B$17:$B$20)</f>
        <v/>
      </c>
      <c r="I20" s="15" t="inlineStr">
        <is>
          <t>P06 (红利低波)</t>
        </is>
      </c>
    </row>
    <row r="23">
      <c r="A23" s="11" t="inlineStr">
        <is>
          <t>(3) 与 P05 (AI算力) 的相关系数与同向风险敞口</t>
        </is>
      </c>
    </row>
    <row r="24">
      <c r="A24" s="3" t="inlineStr">
        <is>
          <t>证券ID</t>
        </is>
      </c>
      <c r="B24" s="3" t="inlineStr">
        <is>
          <t>名称</t>
        </is>
      </c>
      <c r="C24" s="3" t="inlineStr">
        <is>
          <t>与P05相关系数</t>
        </is>
      </c>
      <c r="D24" s="3" t="inlineStr">
        <is>
          <t>市值(CNY)</t>
        </is>
      </c>
      <c r="E24" s="3" t="inlineStr">
        <is>
          <t>加权敞口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处置建议</t>
        </is>
      </c>
    </row>
    <row r="25">
      <c r="A25" s="4" t="inlineStr">
        <is>
          <t>P01</t>
        </is>
      </c>
      <c r="B25" t="inlineStr">
        <is>
          <t>L1半导体ETF</t>
        </is>
      </c>
      <c r="C25" s="18" t="n">
        <v>0.72</v>
      </c>
      <c r="D25" s="7" t="n">
        <v>164000</v>
      </c>
      <c r="E25" s="7">
        <f>C25*D25</f>
        <v/>
      </c>
      <c r="I25" s="15" t="inlineStr">
        <is>
          <t>可考虑同步小幅减持,降低科技敞口集中度</t>
        </is>
      </c>
    </row>
    <row r="26">
      <c r="A26" s="4" t="inlineStr">
        <is>
          <t>P02</t>
        </is>
      </c>
      <c r="B26" t="inlineStr">
        <is>
          <t>软件龙头A</t>
        </is>
      </c>
      <c r="C26" s="18" t="n">
        <v>0.8100000000000001</v>
      </c>
      <c r="D26" s="7" t="n">
        <v>175200</v>
      </c>
      <c r="E26" s="7">
        <f>C26*D26</f>
        <v/>
      </c>
      <c r="I26" s="15" t="inlineStr">
        <is>
          <t>P05 减持时优先配套减持</t>
        </is>
      </c>
    </row>
    <row r="27">
      <c r="A27" s="4" t="inlineStr">
        <is>
          <t>P03</t>
        </is>
      </c>
      <c r="B27" t="inlineStr">
        <is>
          <t>创新药B</t>
        </is>
      </c>
      <c r="C27" s="18" t="n">
        <v>0.32</v>
      </c>
      <c r="D27" s="7" t="n">
        <v>47750</v>
      </c>
      <c r="E27" s="7">
        <f>C27*D27</f>
        <v/>
      </c>
      <c r="I27" s="15" t="inlineStr">
        <is>
          <t>相关性低,可不调整</t>
        </is>
      </c>
    </row>
    <row r="28">
      <c r="A28" s="4" t="inlineStr">
        <is>
          <t>P04</t>
        </is>
      </c>
      <c r="B28" t="inlineStr">
        <is>
          <t>5G设备C</t>
        </is>
      </c>
      <c r="C28" s="18" t="n">
        <v>0.45</v>
      </c>
      <c r="D28" s="7" t="n">
        <v>105600</v>
      </c>
      <c r="E28" s="7">
        <f>C28*D28</f>
        <v/>
      </c>
      <c r="I28" s="15" t="inlineStr">
        <is>
          <t>相关性中,等复牌后再评估</t>
        </is>
      </c>
    </row>
    <row r="29">
      <c r="A29" s="4" t="inlineStr">
        <is>
          <t>P06</t>
        </is>
      </c>
      <c r="B29" t="inlineStr">
        <is>
          <t>红利低波E</t>
        </is>
      </c>
      <c r="C29" s="18" t="n">
        <v>0.15</v>
      </c>
      <c r="D29" s="7" t="n">
        <v>28800</v>
      </c>
      <c r="E29" s="7">
        <f>C29*D29</f>
        <v/>
      </c>
      <c r="I29" s="15" t="inlineStr">
        <is>
          <t>红利对冲,无需调整</t>
        </is>
      </c>
    </row>
    <row r="30">
      <c r="A30" s="4" t="inlineStr">
        <is>
          <t>P07</t>
        </is>
      </c>
      <c r="B30" t="inlineStr">
        <is>
          <t>港股通F</t>
        </is>
      </c>
      <c r="C30" s="18" t="n">
        <v>0.64</v>
      </c>
      <c r="D30" s="7" t="n">
        <v>133400</v>
      </c>
      <c r="E30" s="7">
        <f>C30*D30</f>
        <v/>
      </c>
      <c r="I30" s="15" t="inlineStr">
        <is>
          <t>跨境科技敞口,可考虑对冲或减持</t>
        </is>
      </c>
    </row>
    <row r="31">
      <c r="A31" s="4" t="inlineStr">
        <is>
          <t>P05</t>
        </is>
      </c>
      <c r="B31" t="inlineStr">
        <is>
          <t>AI算力D</t>
        </is>
      </c>
      <c r="C31" s="18" t="n">
        <v>1</v>
      </c>
      <c r="D31" s="7" t="n">
        <v>210000</v>
      </c>
      <c r="E31" s="7">
        <f>C31*D31</f>
        <v/>
      </c>
      <c r="I31" s="15" t="inlineStr">
        <is>
          <t>重点减持</t>
        </is>
      </c>
    </row>
    <row r="34">
      <c r="A34" s="11" t="inlineStr">
        <is>
          <t>(4) 外币暴露</t>
        </is>
      </c>
    </row>
    <row r="35">
      <c r="A35" s="3" t="inlineStr">
        <is>
          <t>币种</t>
        </is>
      </c>
      <c r="B35" s="3" t="inlineStr">
        <is>
          <t>现金等值 (CNY)</t>
        </is>
      </c>
      <c r="C35" s="3" t="inlineStr">
        <is>
          <t>持仓折算 (CNY)</t>
        </is>
      </c>
      <c r="D35" s="3" t="inlineStr">
        <is>
          <t>合计 (CNY)</t>
        </is>
      </c>
      <c r="E35" s="3" t="inlineStr">
        <is>
          <t>占总资产</t>
        </is>
      </c>
      <c r="F35" s="3" t="inlineStr">
        <is>
          <t>汇率</t>
        </is>
      </c>
      <c r="G35" s="3" t="inlineStr">
        <is>
          <t>预警阈值</t>
        </is>
      </c>
      <c r="H35" s="3" t="inlineStr">
        <is>
          <t>—</t>
        </is>
      </c>
      <c r="I35" s="3" t="inlineStr">
        <is>
          <t>说明</t>
        </is>
      </c>
    </row>
    <row r="36">
      <c r="A36" s="4" t="inlineStr">
        <is>
          <t>CNY</t>
        </is>
      </c>
      <c r="B36" s="7" t="n">
        <v>142500</v>
      </c>
      <c r="C36" s="7" t="n">
        <v>736420</v>
      </c>
      <c r="D36" s="7">
        <f>B36+C36</f>
        <v/>
      </c>
      <c r="E36" s="37">
        <f>D36/SUM($D$36:$D$38)</f>
        <v/>
      </c>
      <c r="F36" s="12" t="inlineStr">
        <is>
          <t>—</t>
        </is>
      </c>
      <c r="G36" s="12" t="inlineStr">
        <is>
          <t>—</t>
        </is>
      </c>
      <c r="I36" s="15" t="inlineStr">
        <is>
          <t>人民币主账户</t>
        </is>
      </c>
    </row>
    <row r="37">
      <c r="A37" s="4" t="inlineStr">
        <is>
          <t>USD</t>
        </is>
      </c>
      <c r="B37" s="7" t="n">
        <v>21540</v>
      </c>
      <c r="C37" s="7" t="n">
        <v>0</v>
      </c>
      <c r="D37" s="7">
        <f>B37+C37</f>
        <v/>
      </c>
      <c r="E37" s="37">
        <f>D37/SUM($D$36:$D$38)</f>
        <v/>
      </c>
      <c r="F37" s="12" t="inlineStr">
        <is>
          <t>—</t>
        </is>
      </c>
      <c r="G37" s="12" t="inlineStr">
        <is>
          <t>0.85</t>
        </is>
      </c>
      <c r="I37" s="15" t="inlineStr">
        <is>
          <t>USD现金为主</t>
        </is>
      </c>
    </row>
    <row r="38">
      <c r="A38" s="4" t="inlineStr">
        <is>
          <t>HKD</t>
        </is>
      </c>
      <c r="B38" s="7" t="n">
        <v>0</v>
      </c>
      <c r="C38" s="7" t="n">
        <v>133400</v>
      </c>
      <c r="D38" s="7">
        <f>B38+C38</f>
        <v/>
      </c>
      <c r="E38" s="37">
        <f>D38/SUM($D$36:$D$38)</f>
        <v/>
      </c>
      <c r="F38" s="12" t="inlineStr">
        <is>
          <t>—</t>
        </is>
      </c>
      <c r="G38" s="12" t="inlineStr">
        <is>
          <t>0.85</t>
        </is>
      </c>
      <c r="I38" s="15" t="inlineStr">
        <is>
          <t>P07 港股通 ETF</t>
        </is>
      </c>
    </row>
    <row r="39">
      <c r="A39" s="41" t="inlineStr">
        <is>
          <t>合计</t>
        </is>
      </c>
      <c r="B39" s="9">
        <f>SUM(B36:B38)</f>
        <v/>
      </c>
      <c r="C39" s="9">
        <f>SUM(C36:C38)</f>
        <v/>
      </c>
      <c r="D39" s="9">
        <f>SUM(D36:D38)</f>
        <v/>
      </c>
      <c r="E39" s="40">
        <f>SUM(E36:E38)</f>
        <v/>
      </c>
      <c r="F39" s="41" t="n"/>
      <c r="G39" s="41" t="n"/>
      <c r="H39" s="41" t="n"/>
      <c r="I39" s="41" t="n"/>
    </row>
    <row r="41" ht="30" customHeight="1">
      <c r="A41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</sheetData>
  <mergeCells count="7">
    <mergeCell ref="A15:I15"/>
    <mergeCell ref="A41:I41"/>
    <mergeCell ref="A5:I5"/>
    <mergeCell ref="A1:I1"/>
    <mergeCell ref="A23:I23"/>
    <mergeCell ref="A3:I3"/>
    <mergeCell ref="A34:I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28" customWidth="1" min="6" max="6"/>
  </cols>
  <sheetData>
    <row r="1">
      <c r="A1" s="1" t="inlineStr">
        <is>
          <t>资金转出 5 万元对组合的影响测算</t>
        </is>
      </c>
    </row>
    <row r="3">
      <c r="A3" s="13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11" t="inlineStr">
        <is>
          <t>(1) 转出前后现金流对比</t>
        </is>
      </c>
    </row>
    <row r="6">
      <c r="A6" s="3" t="inlineStr">
        <is>
          <t>项目</t>
        </is>
      </c>
      <c r="B6" s="3" t="inlineStr">
        <is>
          <t>转出前 (CNY)</t>
        </is>
      </c>
      <c r="C6" s="3" t="inlineStr">
        <is>
          <t>转出后 (CNY)</t>
        </is>
      </c>
      <c r="D6" s="3" t="inlineStr">
        <is>
          <t>变化 (CNY)</t>
        </is>
      </c>
      <c r="E6" s="3" t="inlineStr">
        <is>
          <t>变化率</t>
        </is>
      </c>
      <c r="F6" s="3" t="inlineStr">
        <is>
          <t>说明</t>
        </is>
      </c>
    </row>
    <row r="7">
      <c r="A7" s="4" t="inlineStr">
        <is>
          <t>人民币现金</t>
        </is>
      </c>
      <c r="B7" s="7" t="n">
        <v>142500</v>
      </c>
      <c r="C7" s="7" t="n">
        <v>92500</v>
      </c>
      <c r="D7" s="30">
        <f>C7-B7</f>
        <v/>
      </c>
      <c r="E7" s="38">
        <f>D7/B7</f>
        <v/>
      </c>
      <c r="F7" s="15" t="inlineStr">
        <is>
          <t>5 万元转出 现金占比下降</t>
        </is>
      </c>
    </row>
    <row r="8">
      <c r="A8" s="4" t="inlineStr">
        <is>
          <t>USD 现金 (折人民币)</t>
        </is>
      </c>
      <c r="B8" s="7" t="n">
        <v>21540</v>
      </c>
      <c r="C8" s="7" t="n">
        <v>21540</v>
      </c>
      <c r="D8" s="30">
        <f>C8-B8</f>
        <v/>
      </c>
      <c r="E8" s="38">
        <f>D8/B8</f>
        <v/>
      </c>
      <c r="F8" s="15" t="inlineStr">
        <is>
          <t>不变 无 USD 转出</t>
        </is>
      </c>
    </row>
    <row r="9">
      <c r="A9" s="4" t="inlineStr">
        <is>
          <t>合计现金 (含 USD)</t>
        </is>
      </c>
      <c r="B9" s="7" t="n">
        <v>164040</v>
      </c>
      <c r="C9" s="7" t="n">
        <v>114040</v>
      </c>
      <c r="D9" s="30">
        <f>C9-B9</f>
        <v/>
      </c>
      <c r="E9" s="38">
        <f>D9/B9</f>
        <v/>
      </c>
      <c r="F9" s="15" t="inlineStr">
        <is>
          <t>5 万元 下降至 11.03%</t>
        </is>
      </c>
    </row>
    <row r="10">
      <c r="A10" s="4" t="inlineStr">
        <is>
          <t>总资产 (托管口径)</t>
        </is>
      </c>
      <c r="B10" s="7" t="n">
        <v>1032660</v>
      </c>
      <c r="C10" s="7" t="n">
        <v>982660</v>
      </c>
      <c r="D10" s="30">
        <f>C10-B10</f>
        <v/>
      </c>
      <c r="E10" s="38">
        <f>D10/B10</f>
        <v/>
      </c>
      <c r="F10" s="15" t="inlineStr">
        <is>
          <t>5 万元 下降</t>
        </is>
      </c>
    </row>
    <row r="11">
      <c r="A11" s="4" t="inlineStr">
        <is>
          <t>现金占比 (CNY)</t>
        </is>
      </c>
      <c r="B11" s="48" t="n"/>
      <c r="C11" s="48" t="n"/>
      <c r="D11" s="48" t="n"/>
      <c r="E11" s="48" t="n"/>
      <c r="F11" s="15" t="inlineStr">
        <is>
          <t>由 13.80% → 9.41% 仍 ≥ 5% 下限</t>
        </is>
      </c>
    </row>
    <row r="12">
      <c r="A12" s="4" t="inlineStr">
        <is>
          <t>现金占比 (含 USD)</t>
        </is>
      </c>
      <c r="B12" s="48" t="n"/>
      <c r="C12" s="48" t="n"/>
      <c r="D12" s="48" t="n"/>
      <c r="E12" s="48" t="n"/>
      <c r="F12" s="15" t="inlineStr">
        <is>
          <t>由 15.89% → 11.60% 缓冲缩窄</t>
        </is>
      </c>
    </row>
    <row r="15">
      <c r="A15" s="11" t="inlineStr">
        <is>
          <t>(2) 关键比例变化（含分母缩小效应）</t>
        </is>
      </c>
    </row>
    <row r="16">
      <c r="A16" s="3" t="inlineStr">
        <is>
          <t>指标</t>
        </is>
      </c>
      <c r="B16" s="3" t="inlineStr">
        <is>
          <t>转出前</t>
        </is>
      </c>
      <c r="C16" s="3" t="inlineStr">
        <is>
          <t>转出后</t>
        </is>
      </c>
      <c r="D16" s="3" t="inlineStr">
        <is>
          <t>变化 (pp)</t>
        </is>
      </c>
      <c r="E16" s="3" t="inlineStr">
        <is>
          <t>判定阈值</t>
        </is>
      </c>
      <c r="F16" s="3" t="inlineStr">
        <is>
          <t>结论</t>
        </is>
      </c>
    </row>
    <row r="17">
      <c r="A17" s="4" t="inlineStr">
        <is>
          <t>计算机行业占比</t>
        </is>
      </c>
      <c r="B17" s="5" t="inlineStr">
        <is>
          <t>37.30%</t>
        </is>
      </c>
      <c r="C17" s="5" t="inlineStr">
        <is>
          <t>39.20%</t>
        </is>
      </c>
      <c r="D17" s="5" t="inlineStr">
        <is>
          <t>+1.90</t>
        </is>
      </c>
      <c r="E17" s="12" t="inlineStr">
        <is>
          <t>≤ 30%</t>
        </is>
      </c>
      <c r="F17" s="49" t="inlineStr">
        <is>
          <t>继续超限;分母效应反而加重</t>
        </is>
      </c>
    </row>
    <row r="18">
      <c r="A18" s="4" t="inlineStr">
        <is>
          <t>P05 单股占比</t>
        </is>
      </c>
      <c r="B18" s="5" t="inlineStr">
        <is>
          <t>20.34%</t>
        </is>
      </c>
      <c r="C18" s="5" t="inlineStr">
        <is>
          <t>21.36%</t>
        </is>
      </c>
      <c r="D18" s="5" t="inlineStr">
        <is>
          <t>+1.02</t>
        </is>
      </c>
      <c r="E18" s="12" t="inlineStr">
        <is>
          <t>≤ 20%</t>
        </is>
      </c>
      <c r="F18" s="49" t="inlineStr">
        <is>
          <t>略超阈值;减持 P05 即可解决</t>
        </is>
      </c>
    </row>
    <row r="19">
      <c r="A19" s="4" t="inlineStr">
        <is>
          <t>P01 单股占比</t>
        </is>
      </c>
      <c r="B19" s="5" t="inlineStr">
        <is>
          <t>15.88%</t>
        </is>
      </c>
      <c r="C19" s="5" t="inlineStr">
        <is>
          <t>16.69%</t>
        </is>
      </c>
      <c r="D19" s="5" t="inlineStr">
        <is>
          <t>+0.81</t>
        </is>
      </c>
      <c r="E19" s="12" t="inlineStr">
        <is>
          <t>≤ 20%</t>
        </is>
      </c>
      <c r="F19" s="50" t="inlineStr">
        <is>
          <t>合规;优先不动</t>
        </is>
      </c>
    </row>
    <row r="20">
      <c r="A20" s="4" t="inlineStr">
        <is>
          <t>现金占比 (CNY)</t>
        </is>
      </c>
      <c r="B20" s="5" t="inlineStr">
        <is>
          <t>13.80%</t>
        </is>
      </c>
      <c r="C20" s="5" t="inlineStr">
        <is>
          <t>9.41%</t>
        </is>
      </c>
      <c r="D20" s="5" t="inlineStr">
        <is>
          <t>-4.39</t>
        </is>
      </c>
      <c r="E20" s="12" t="inlineStr">
        <is>
          <t>≥ 5%</t>
        </is>
      </c>
      <c r="F20" s="51" t="inlineStr">
        <is>
          <t>合规但缓冲缩窄</t>
        </is>
      </c>
    </row>
    <row r="21">
      <c r="A21" s="4" t="inlineStr">
        <is>
          <t>现金缓冲 (pp)</t>
        </is>
      </c>
      <c r="B21" s="5" t="inlineStr">
        <is>
          <t>8.80pp</t>
        </is>
      </c>
      <c r="C21" s="5" t="inlineStr">
        <is>
          <t>4.41pp</t>
        </is>
      </c>
      <c r="D21" s="5" t="inlineStr">
        <is>
          <t>-4.39</t>
        </is>
      </c>
      <c r="E21" s="12" t="inlineStr">
        <is>
          <t>≥ 0pp</t>
        </is>
      </c>
      <c r="F21" s="50" t="inlineStr">
        <is>
          <t>可吸收约 4.3 万非预期支出</t>
        </is>
      </c>
    </row>
    <row r="22">
      <c r="A22" s="4" t="inlineStr">
        <is>
          <t>USD 占比</t>
        </is>
      </c>
      <c r="B22" s="5" t="inlineStr">
        <is>
          <t>2.09%</t>
        </is>
      </c>
      <c r="C22" s="5" t="inlineStr">
        <is>
          <t>2.19%</t>
        </is>
      </c>
      <c r="D22" s="5" t="inlineStr">
        <is>
          <t>+0.10</t>
        </is>
      </c>
      <c r="E22" s="12" t="inlineStr">
        <is>
          <t>—</t>
        </is>
      </c>
      <c r="F22" s="50" t="inlineStr">
        <is>
          <t>基本无变化</t>
        </is>
      </c>
    </row>
    <row r="23">
      <c r="A23" s="4" t="inlineStr">
        <is>
          <t>HKD 占比</t>
        </is>
      </c>
      <c r="B23" s="5" t="inlineStr">
        <is>
          <t>12.92%</t>
        </is>
      </c>
      <c r="C23" s="5" t="inlineStr">
        <is>
          <t>13.58%</t>
        </is>
      </c>
      <c r="D23" s="5" t="inlineStr">
        <is>
          <t>+0.66</t>
        </is>
      </c>
      <c r="E23" s="12" t="inlineStr">
        <is>
          <t>—</t>
        </is>
      </c>
      <c r="F23" s="50" t="inlineStr">
        <is>
          <t>略升;主因分母效应</t>
        </is>
      </c>
    </row>
    <row r="26">
      <c r="A26" s="11" t="inlineStr">
        <is>
          <t>(3) 流动性约束检查</t>
        </is>
      </c>
    </row>
    <row r="27">
      <c r="A27" s="3" t="inlineStr">
        <is>
          <t>约束项</t>
        </is>
      </c>
      <c r="B27" s="3" t="inlineStr">
        <is>
          <t>阈值</t>
        </is>
      </c>
      <c r="C27" s="3" t="inlineStr">
        <is>
          <t>转出前状态</t>
        </is>
      </c>
      <c r="D27" s="3" t="inlineStr">
        <is>
          <t>转出后状态</t>
        </is>
      </c>
      <c r="E27" s="3" t="inlineStr">
        <is>
          <t>判定</t>
        </is>
      </c>
      <c r="F27" s="3" t="inlineStr">
        <is>
          <t>说明</t>
        </is>
      </c>
    </row>
    <row r="28">
      <c r="A28" s="4" t="inlineStr">
        <is>
          <t>现金占比 ≥ 5%</t>
        </is>
      </c>
      <c r="B28" s="12" t="inlineStr">
        <is>
          <t>≥ 5%</t>
        </is>
      </c>
      <c r="C28" s="12" t="inlineStr">
        <is>
          <t>13.80% (合规)</t>
        </is>
      </c>
      <c r="D28" s="12" t="inlineStr">
        <is>
          <t>9.41% (合规)</t>
        </is>
      </c>
      <c r="E28" s="12" t="inlineStr">
        <is>
          <t>合规</t>
        </is>
      </c>
      <c r="F28" s="12" t="inlineStr">
        <is>
          <t>缓冲由 8.80pp 缩至 4.41pp</t>
        </is>
      </c>
    </row>
    <row r="29">
      <c r="A29" s="4" t="inlineStr">
        <is>
          <t>缓冲 ≥ 2pp</t>
        </is>
      </c>
      <c r="B29" s="12" t="inlineStr">
        <is>
          <t>≥ 2pp</t>
        </is>
      </c>
      <c r="C29" s="12" t="inlineStr">
        <is>
          <t>8.80pp (充裕)</t>
        </is>
      </c>
      <c r="D29" s="12" t="inlineStr">
        <is>
          <t>4.41pp (临界)</t>
        </is>
      </c>
      <c r="E29" s="19" t="inlineStr">
        <is>
          <t>需关注</t>
        </is>
      </c>
      <c r="F29" s="12" t="inlineStr">
        <is>
          <t>建议预留 1-2 万元备用流动性</t>
        </is>
      </c>
    </row>
    <row r="30">
      <c r="A30" s="4" t="inlineStr">
        <is>
          <t>现金 ≥ 5 万元</t>
        </is>
      </c>
      <c r="B30" s="12" t="inlineStr">
        <is>
          <t>≥ 50,000</t>
        </is>
      </c>
      <c r="C30" s="12" t="inlineStr">
        <is>
          <t>142,500 (充裕)</t>
        </is>
      </c>
      <c r="D30" s="12" t="inlineStr">
        <is>
          <t>92,500 (充裕)</t>
        </is>
      </c>
      <c r="E30" s="12" t="inlineStr">
        <is>
          <t>合规</t>
        </is>
      </c>
      <c r="F30" s="12" t="inlineStr">
        <is>
          <t>本约束无忧</t>
        </is>
      </c>
    </row>
    <row r="31">
      <c r="A31" s="4" t="inlineStr">
        <is>
          <t>现金 ≥ 单日转出额</t>
        </is>
      </c>
      <c r="B31" s="12" t="inlineStr">
        <is>
          <t>≥ 50,000</t>
        </is>
      </c>
      <c r="C31" s="12" t="inlineStr">
        <is>
          <t>满足</t>
        </is>
      </c>
      <c r="D31" s="12" t="inlineStr">
        <is>
          <t>满足</t>
        </is>
      </c>
      <c r="E31" s="12" t="inlineStr">
        <is>
          <t>合规</t>
        </is>
      </c>
      <c r="F31" s="12" t="inlineStr"/>
    </row>
    <row r="34" ht="30" customHeight="1">
      <c r="A34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</sheetData>
  <mergeCells count="6">
    <mergeCell ref="A1:F1"/>
    <mergeCell ref="A5:F5"/>
    <mergeCell ref="A26:F26"/>
    <mergeCell ref="A34:F34"/>
    <mergeCell ref="A3:F3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纪律：可执行的条件规则（仅供调仓前分析，不代表已经下单）</t>
        </is>
      </c>
    </row>
    <row r="3">
      <c r="A3" s="11" t="inlineStr">
        <is>
          <t>一、执行口径与费率假设</t>
        </is>
      </c>
    </row>
    <row r="4">
      <c r="A4" s="52" t="inlineStr">
        <is>
          <t>费率假设：A 股双边 0.076%、ETF 0.050%、港股通 0.200%（不含印花税，按行业惯例），实际以券商确认为准。</t>
        </is>
      </c>
    </row>
    <row r="7">
      <c r="A7" s="11" t="inlineStr">
        <is>
          <t>二、条件规则（按标的分档；正常成交 / 无法成交 / 风险继续扩大）</t>
        </is>
      </c>
    </row>
    <row r="8">
      <c r="A8" s="3" t="inlineStr">
        <is>
          <t>规则编号</t>
        </is>
      </c>
      <c r="B8" s="3" t="inlineStr">
        <is>
          <t>标的</t>
        </is>
      </c>
      <c r="C8" s="3" t="inlineStr">
        <is>
          <t>类别</t>
        </is>
      </c>
      <c r="D8" s="3" t="inlineStr">
        <is>
          <t>触发条件</t>
        </is>
      </c>
      <c r="E8" s="3" t="inlineStr">
        <is>
          <t>卖出数量</t>
        </is>
      </c>
      <c r="F8" s="3" t="inlineStr">
        <is>
          <t>限价</t>
        </is>
      </c>
      <c r="G8" s="3" t="inlineStr">
        <is>
          <t>市价</t>
        </is>
      </c>
      <c r="H8" s="3" t="inlineStr">
        <is>
          <t>市值(CNY)</t>
        </is>
      </c>
      <c r="I8" s="3" t="inlineStr">
        <is>
          <t>预估费用</t>
        </is>
      </c>
      <c r="J8" s="3" t="inlineStr">
        <is>
          <t>净收入(CNY)</t>
        </is>
      </c>
      <c r="K8" s="3" t="inlineStr">
        <is>
          <t>备注</t>
        </is>
      </c>
    </row>
    <row r="9" ht="36" customHeight="1">
      <c r="A9" s="53" t="inlineStr">
        <is>
          <t>R1-A</t>
        </is>
      </c>
      <c r="B9" s="12" t="inlineStr">
        <is>
          <t>P01</t>
        </is>
      </c>
      <c r="C9" s="54" t="inlineStr">
        <is>
          <t>正常成交</t>
        </is>
      </c>
      <c r="D9" s="15" t="inlineStr">
        <is>
          <t>2026-09-14 集合竞价开盘正常 (成交价 ≥ 32.00)</t>
        </is>
      </c>
      <c r="E9" s="7" t="n">
        <v>3000</v>
      </c>
      <c r="F9" s="18" t="n">
        <v>32.5</v>
      </c>
      <c r="G9" s="18" t="n">
        <v>32.8</v>
      </c>
      <c r="H9" s="7">
        <f>E9*F9*1.0</f>
        <v/>
      </c>
      <c r="I9" s="55">
        <f>H9*0.00076</f>
        <v/>
      </c>
      <c r="J9" s="7">
        <f>H9-I9</f>
        <v/>
      </c>
      <c r="K9" s="15" t="inlineStr">
        <is>
          <t>T+1 已解锁,正常减持</t>
        </is>
      </c>
    </row>
    <row r="10" ht="36" customHeight="1">
      <c r="A10" s="53" t="inlineStr">
        <is>
          <t>R1-B</t>
        </is>
      </c>
      <c r="B10" s="12" t="inlineStr">
        <is>
          <t>P01</t>
        </is>
      </c>
      <c r="C10" s="19" t="inlineStr">
        <is>
          <t>风险继续扩大</t>
        </is>
      </c>
      <c r="D10" s="15" t="inlineStr">
        <is>
          <t>电子板块当日跌幅 ≥ -3%,且 P01 跌至 ≤ 30.50</t>
        </is>
      </c>
      <c r="E10" s="7" t="n">
        <v>3000</v>
      </c>
      <c r="F10" s="18" t="n">
        <v>30.5</v>
      </c>
      <c r="G10" s="18" t="n">
        <v>32.8</v>
      </c>
      <c r="H10" s="7">
        <f>E10*F10*1.0</f>
        <v/>
      </c>
      <c r="I10" s="55">
        <f>H10*0.00076</f>
        <v/>
      </c>
      <c r="J10" s="7">
        <f>H10-I10</f>
        <v/>
      </c>
      <c r="K10" s="15" t="inlineStr">
        <is>
          <t>防止继续下跌扩大亏损</t>
        </is>
      </c>
    </row>
    <row r="11" ht="36" customHeight="1">
      <c r="A11" s="53" t="inlineStr">
        <is>
          <t>R1-C</t>
        </is>
      </c>
      <c r="B11" s="12" t="inlineStr">
        <is>
          <t>P01</t>
        </is>
      </c>
      <c r="C11" s="56" t="inlineStr">
        <is>
          <t>无法成交</t>
        </is>
      </c>
      <c r="D11" s="15" t="inlineStr">
        <is>
          <t>P01 跌停封板 (收 ≤ 30.50)</t>
        </is>
      </c>
      <c r="E11" s="7" t="n">
        <v>0</v>
      </c>
      <c r="F11" s="5" t="inlineStr">
        <is>
          <t>—</t>
        </is>
      </c>
      <c r="G11" s="18" t="n">
        <v>32.8</v>
      </c>
      <c r="H11" s="7" t="n">
        <v>0</v>
      </c>
      <c r="I11" s="55" t="n">
        <v>0</v>
      </c>
      <c r="J11" s="7" t="n">
        <v>0</v>
      </c>
      <c r="K11" s="15" t="inlineStr">
        <is>
          <t>触发即保留持仓</t>
        </is>
      </c>
    </row>
    <row r="12" ht="36" customHeight="1">
      <c r="A12" s="53" t="inlineStr">
        <is>
          <t>R2-A</t>
        </is>
      </c>
      <c r="B12" s="12" t="inlineStr">
        <is>
          <t>P02</t>
        </is>
      </c>
      <c r="C12" s="54" t="inlineStr">
        <is>
          <t>正常成交</t>
        </is>
      </c>
      <c r="D12" s="15" t="inlineStr">
        <is>
          <t>2026-08-15 开盘反弹,价格 ≥ 58.00</t>
        </is>
      </c>
      <c r="E12" s="7" t="n">
        <v>1000</v>
      </c>
      <c r="F12" s="18" t="n">
        <v>58</v>
      </c>
      <c r="G12" s="18" t="n">
        <v>58.4</v>
      </c>
      <c r="H12" s="7">
        <f>E12*F12*1.0</f>
        <v/>
      </c>
      <c r="I12" s="55">
        <f>H12*0.00076</f>
        <v/>
      </c>
      <c r="J12" s="7">
        <f>H12-I12</f>
        <v/>
      </c>
      <c r="K12" s="15" t="inlineStr">
        <is>
          <t>反弹时部分减持</t>
        </is>
      </c>
    </row>
    <row r="13" ht="36" customHeight="1">
      <c r="A13" s="53" t="inlineStr">
        <is>
          <t>R2-B</t>
        </is>
      </c>
      <c r="B13" s="12" t="inlineStr">
        <is>
          <t>P02</t>
        </is>
      </c>
      <c r="C13" s="19" t="inlineStr">
        <is>
          <t>风险继续扩大</t>
        </is>
      </c>
      <c r="D13" s="15" t="inlineStr">
        <is>
          <t>次日开板后跌幅 ≥ -5%,价格 ≤ 55.00</t>
        </is>
      </c>
      <c r="E13" s="7" t="n">
        <v>1000</v>
      </c>
      <c r="F13" s="18" t="n">
        <v>55</v>
      </c>
      <c r="G13" s="18" t="n">
        <v>58.4</v>
      </c>
      <c r="H13" s="7">
        <f>E13*F13*1.0</f>
        <v/>
      </c>
      <c r="I13" s="55">
        <f>H13*0.00076</f>
        <v/>
      </c>
      <c r="J13" s="7">
        <f>H13-I13</f>
        <v/>
      </c>
      <c r="K13" s="15" t="inlineStr">
        <is>
          <t>控制继续下跌风险</t>
        </is>
      </c>
    </row>
    <row r="14" ht="36" customHeight="1">
      <c r="A14" s="53" t="inlineStr">
        <is>
          <t>R2-C</t>
        </is>
      </c>
      <c r="B14" s="12" t="inlineStr">
        <is>
          <t>P02</t>
        </is>
      </c>
      <c r="C14" s="56" t="inlineStr">
        <is>
          <t>无法成交</t>
        </is>
      </c>
      <c r="D14" s="15" t="inlineStr">
        <is>
          <t>次日仍封跌停 (≤ 52.50)</t>
        </is>
      </c>
      <c r="E14" s="7" t="n">
        <v>0</v>
      </c>
      <c r="F14" s="5" t="inlineStr">
        <is>
          <t>—</t>
        </is>
      </c>
      <c r="G14" s="18" t="n">
        <v>58.4</v>
      </c>
      <c r="H14" s="7" t="n">
        <v>0</v>
      </c>
      <c r="I14" s="55" t="n">
        <v>0</v>
      </c>
      <c r="J14" s="7" t="n">
        <v>0</v>
      </c>
      <c r="K14" s="15" t="inlineStr">
        <is>
          <t>保留至再次开板</t>
        </is>
      </c>
    </row>
    <row r="15" ht="36" customHeight="1">
      <c r="A15" s="53" t="inlineStr">
        <is>
          <t>R3-A</t>
        </is>
      </c>
      <c r="B15" s="12" t="inlineStr">
        <is>
          <t>P05</t>
        </is>
      </c>
      <c r="C15" s="54" t="inlineStr">
        <is>
          <t>正常成交</t>
        </is>
      </c>
      <c r="D15" s="15" t="inlineStr">
        <is>
          <t>价格 ≤ 108,且科技板块未大跌</t>
        </is>
      </c>
      <c r="E15" s="7" t="n">
        <v>500</v>
      </c>
      <c r="F15" s="18" t="n">
        <v>107.5</v>
      </c>
      <c r="G15" s="18" t="n">
        <v>105</v>
      </c>
      <c r="H15" s="7">
        <f>E15*F15*1.0</f>
        <v/>
      </c>
      <c r="I15" s="55">
        <f>H15*0.00076</f>
        <v/>
      </c>
      <c r="J15" s="7">
        <f>H15-I15</f>
        <v/>
      </c>
      <c r="K15" s="15" t="inlineStr">
        <is>
          <t>减持降低行业集中度</t>
        </is>
      </c>
    </row>
    <row r="16" ht="36" customHeight="1">
      <c r="A16" s="53" t="inlineStr">
        <is>
          <t>R3-B</t>
        </is>
      </c>
      <c r="B16" s="12" t="inlineStr">
        <is>
          <t>P05</t>
        </is>
      </c>
      <c r="C16" s="19" t="inlineStr">
        <is>
          <t>风险继续扩大</t>
        </is>
      </c>
      <c r="D16" s="15" t="inlineStr">
        <is>
          <t>P05 单股跌至 ≤ 95</t>
        </is>
      </c>
      <c r="E16" s="7" t="n">
        <v>500</v>
      </c>
      <c r="F16" s="18" t="n">
        <v>95</v>
      </c>
      <c r="G16" s="18" t="n">
        <v>105</v>
      </c>
      <c r="H16" s="7">
        <f>E16*F16*1.0</f>
        <v/>
      </c>
      <c r="I16" s="55">
        <f>H16*0.00076</f>
        <v/>
      </c>
      <c r="J16" s="7">
        <f>H16-I16</f>
        <v/>
      </c>
      <c r="K16" s="15" t="inlineStr">
        <is>
          <t>防止浮盈回吐过多</t>
        </is>
      </c>
    </row>
    <row r="17" ht="36" customHeight="1">
      <c r="A17" s="53" t="inlineStr">
        <is>
          <t>R3-C</t>
        </is>
      </c>
      <c r="B17" s="12" t="inlineStr">
        <is>
          <t>P05</t>
        </is>
      </c>
      <c r="C17" s="56" t="inlineStr">
        <is>
          <t>无法成交</t>
        </is>
      </c>
      <c r="D17" s="15" t="inlineStr">
        <is>
          <t>P05 跌停/停牌</t>
        </is>
      </c>
      <c r="E17" s="7" t="n">
        <v>0</v>
      </c>
      <c r="F17" s="5" t="inlineStr">
        <is>
          <t>—</t>
        </is>
      </c>
      <c r="G17" s="18" t="n">
        <v>105</v>
      </c>
      <c r="H17" s="7" t="n">
        <v>0</v>
      </c>
      <c r="I17" s="55" t="n">
        <v>0</v>
      </c>
      <c r="J17" s="7" t="n">
        <v>0</v>
      </c>
      <c r="K17" s="15" t="inlineStr">
        <is>
          <t>保留持仓</t>
        </is>
      </c>
    </row>
    <row r="18" ht="36" customHeight="1">
      <c r="A18" s="53" t="inlineStr">
        <is>
          <t>R4-A</t>
        </is>
      </c>
      <c r="B18" s="12" t="inlineStr">
        <is>
          <t>P03</t>
        </is>
      </c>
      <c r="C18" s="54" t="inlineStr">
        <is>
          <t>正常成交</t>
        </is>
      </c>
      <c r="D18" s="15" t="inlineStr">
        <is>
          <t>转出后现金比例 &lt; 5% (低于流动性下限)</t>
        </is>
      </c>
      <c r="E18" s="7" t="n">
        <v>2000</v>
      </c>
      <c r="F18" s="18" t="n">
        <v>9.550000000000001</v>
      </c>
      <c r="G18" s="18" t="n">
        <v>9.550000000000001</v>
      </c>
      <c r="H18" s="7">
        <f>E18*F18*1.0</f>
        <v/>
      </c>
      <c r="I18" s="55">
        <f>H18*0.00076</f>
        <v/>
      </c>
      <c r="J18" s="7">
        <f>H18-I18</f>
        <v/>
      </c>
      <c r="K18" s="15" t="inlineStr">
        <is>
          <t>低风险变现补充现金</t>
        </is>
      </c>
    </row>
    <row r="19" ht="36" customHeight="1">
      <c r="A19" s="53" t="inlineStr">
        <is>
          <t>R5-A</t>
        </is>
      </c>
      <c r="B19" s="12" t="inlineStr">
        <is>
          <t>P06</t>
        </is>
      </c>
      <c r="C19" s="54" t="inlineStr">
        <is>
          <t>正常成交</t>
        </is>
      </c>
      <c r="D19" s="15" t="inlineStr">
        <is>
          <t>同 R4-A 触发 (现金比例告警)</t>
        </is>
      </c>
      <c r="E19" s="7" t="n">
        <v>5000</v>
      </c>
      <c r="F19" s="18" t="n">
        <v>2.86</v>
      </c>
      <c r="G19" s="18" t="n">
        <v>2.88</v>
      </c>
      <c r="H19" s="7">
        <f>E19*F19*1.0</f>
        <v/>
      </c>
      <c r="I19" s="55">
        <f>H19*0.0005</f>
        <v/>
      </c>
      <c r="J19" s="7">
        <f>H19-I19</f>
        <v/>
      </c>
      <c r="K19" s="15" t="inlineStr">
        <is>
          <t>ETF 流动性好</t>
        </is>
      </c>
    </row>
    <row r="20" ht="36" customHeight="1">
      <c r="A20" s="53" t="inlineStr">
        <is>
          <t>R5-B</t>
        </is>
      </c>
      <c r="B20" s="12" t="inlineStr">
        <is>
          <t>P06</t>
        </is>
      </c>
      <c r="C20" s="19" t="inlineStr">
        <is>
          <t>风险继续扩大</t>
        </is>
      </c>
      <c r="D20" s="15" t="inlineStr">
        <is>
          <t>红利低波 ETF 净值跌幅 ≥ -3%</t>
        </is>
      </c>
      <c r="E20" s="7" t="n">
        <v>5000</v>
      </c>
      <c r="F20" s="18" t="n">
        <v>2.75</v>
      </c>
      <c r="G20" s="18" t="n">
        <v>2.88</v>
      </c>
      <c r="H20" s="7">
        <f>E20*F20*1.0</f>
        <v/>
      </c>
      <c r="I20" s="55">
        <f>H20*0.0005</f>
        <v/>
      </c>
      <c r="J20" s="7">
        <f>H20-I20</f>
        <v/>
      </c>
      <c r="K20" s="15" t="inlineStr">
        <is>
          <t>防止净值快速下行</t>
        </is>
      </c>
    </row>
    <row r="21" ht="36" customHeight="1">
      <c r="A21" s="53" t="inlineStr">
        <is>
          <t>R6-A</t>
        </is>
      </c>
      <c r="B21" s="12" t="inlineStr">
        <is>
          <t>P07</t>
        </is>
      </c>
      <c r="C21" s="54" t="inlineStr">
        <is>
          <t>正常成交</t>
        </is>
      </c>
      <c r="D21" s="15" t="inlineStr">
        <is>
          <t>HKD/CNY 在 0.90-0.94 区间</t>
        </is>
      </c>
      <c r="E21" s="7" t="n">
        <v>0</v>
      </c>
      <c r="F21" s="5" t="inlineStr">
        <is>
          <t>—</t>
        </is>
      </c>
      <c r="G21" s="18" t="n">
        <v>14.5</v>
      </c>
      <c r="H21" s="7" t="n">
        <v>0</v>
      </c>
      <c r="I21" s="55" t="n">
        <v>0</v>
      </c>
      <c r="J21" s="7" t="n">
        <v>0</v>
      </c>
      <c r="K21" s="15" t="inlineStr">
        <is>
          <t>不操作,保持跨境敞口</t>
        </is>
      </c>
    </row>
    <row r="22" ht="36" customHeight="1">
      <c r="A22" s="53" t="inlineStr">
        <is>
          <t>R6-B</t>
        </is>
      </c>
      <c r="B22" s="12" t="inlineStr">
        <is>
          <t>P07</t>
        </is>
      </c>
      <c r="C22" s="19" t="inlineStr">
        <is>
          <t>风险继续扩大</t>
        </is>
      </c>
      <c r="D22" s="15" t="inlineStr">
        <is>
          <t>HKD/CNY ≤ 0.85,且 P07 跌幅 ≥ -5%</t>
        </is>
      </c>
      <c r="E22" s="7" t="n">
        <v>5000</v>
      </c>
      <c r="F22" s="18" t="n">
        <v>14.5</v>
      </c>
      <c r="G22" s="18" t="n">
        <v>14.5</v>
      </c>
      <c r="H22" s="7">
        <f>E22*F22*0.92</f>
        <v/>
      </c>
      <c r="I22" s="55">
        <f>H22*0.002</f>
        <v/>
      </c>
      <c r="J22" s="7">
        <f>H22-I22</f>
        <v/>
      </c>
      <c r="K22" s="15" t="inlineStr">
        <is>
          <t>对冲汇率风险</t>
        </is>
      </c>
    </row>
    <row r="23" ht="36" customHeight="1">
      <c r="A23" s="53" t="inlineStr">
        <is>
          <t>R7-A</t>
        </is>
      </c>
      <c r="B23" s="12" t="inlineStr">
        <is>
          <t>P04</t>
        </is>
      </c>
      <c r="C23" s="56" t="inlineStr">
        <is>
          <t>无法成交</t>
        </is>
      </c>
      <c r="D23" s="15" t="inlineStr">
        <is>
          <t>2026-09-14 P04 仍处停牌</t>
        </is>
      </c>
      <c r="E23" s="7" t="n">
        <v>0</v>
      </c>
      <c r="F23" s="5" t="inlineStr">
        <is>
          <t>—</t>
        </is>
      </c>
      <c r="G23" s="18" t="n">
        <v>17.6</v>
      </c>
      <c r="H23" s="7" t="n">
        <v>0</v>
      </c>
      <c r="I23" s="55" t="n">
        <v>0</v>
      </c>
      <c r="J23" s="7" t="n">
        <v>0</v>
      </c>
      <c r="K23" s="15" t="inlineStr">
        <is>
          <t>复牌前不操作</t>
        </is>
      </c>
    </row>
    <row r="26">
      <c r="A26" s="11" t="inlineStr">
        <is>
          <t>三、4 个情景下的规则触发汇总</t>
        </is>
      </c>
    </row>
    <row r="27">
      <c r="A27" s="3" t="inlineStr">
        <is>
          <t>情景</t>
        </is>
      </c>
      <c r="B27" s="3" t="inlineStr">
        <is>
          <t>触发规则</t>
        </is>
      </c>
      <c r="C27" s="3" t="inlineStr">
        <is>
          <t>卖出股数合计</t>
        </is>
      </c>
      <c r="D27" s="3" t="inlineStr">
        <is>
          <t>净收入合计 (CNY)</t>
        </is>
      </c>
      <c r="E27" s="3" t="inlineStr">
        <is>
          <t>调整后计算机占比</t>
        </is>
      </c>
      <c r="F27" s="3" t="inlineStr">
        <is>
          <t>调整后现金占比</t>
        </is>
      </c>
      <c r="G27" s="3" t="inlineStr">
        <is>
          <t>调整后 P05 占比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情景说明</t>
        </is>
      </c>
    </row>
    <row r="28" ht="30" customHeight="1">
      <c r="A28" s="15" t="inlineStr">
        <is>
          <t>情景 S1 保守</t>
        </is>
      </c>
      <c r="B28" s="12" t="inlineStr">
        <is>
          <t>R1-A + R3-A</t>
        </is>
      </c>
      <c r="C28" s="12" t="inlineStr">
        <is>
          <t>3000+500</t>
        </is>
      </c>
      <c r="D28" s="12" t="inlineStr">
        <is>
          <t>R3-B 暂不触发</t>
        </is>
      </c>
      <c r="E28" s="57" t="n"/>
      <c r="F28" s="57" t="n"/>
      <c r="G28" s="57" t="n"/>
      <c r="H28" s="57" t="n"/>
      <c r="I28" s="57" t="n"/>
      <c r="J28" s="57" t="n"/>
      <c r="K28" s="15" t="inlineStr">
        <is>
          <t>只减 P01/P05,不触发 P02 跌停分支</t>
        </is>
      </c>
    </row>
    <row r="29" ht="30" customHeight="1">
      <c r="A29" s="15" t="inlineStr">
        <is>
          <t>情景 S2 平衡</t>
        </is>
      </c>
      <c r="B29" s="12" t="inlineStr">
        <is>
          <t>R1-A + R2-A + R3-A</t>
        </is>
      </c>
      <c r="C29" s="12" t="inlineStr">
        <is>
          <t>3000+1000+500</t>
        </is>
      </c>
      <c r="D29" s="12" t="inlineStr">
        <is>
          <t>—</t>
        </is>
      </c>
      <c r="E29" s="57" t="n"/>
      <c r="F29" s="57" t="n"/>
      <c r="G29" s="57" t="n"/>
      <c r="H29" s="57" t="n"/>
      <c r="I29" s="57" t="n"/>
      <c r="J29" s="57" t="n"/>
      <c r="K29" s="15" t="inlineStr">
        <is>
          <t>P02 开板后同步减持,行业集中度可降至 ~33%</t>
        </is>
      </c>
    </row>
    <row r="30" ht="30" customHeight="1">
      <c r="A30" s="15" t="inlineStr">
        <is>
          <t>情景 S3 风险</t>
        </is>
      </c>
      <c r="B30" s="12" t="inlineStr">
        <is>
          <t>R1-B + R2-B + R3-B + R6-B</t>
        </is>
      </c>
      <c r="C30" s="12" t="inlineStr">
        <is>
          <t>3000+1000+500+5000</t>
        </is>
      </c>
      <c r="D30" s="12" t="inlineStr">
        <is>
          <t>全部风险规则触发</t>
        </is>
      </c>
      <c r="E30" s="57" t="n"/>
      <c r="F30" s="57" t="n"/>
      <c r="G30" s="57" t="n"/>
      <c r="H30" s="57" t="n"/>
      <c r="I30" s="57" t="n"/>
      <c r="J30" s="57" t="n"/>
      <c r="K30" s="15" t="inlineStr">
        <is>
          <t>全部风险规则触发,现金显著增加,行业集中度大幅下降</t>
        </is>
      </c>
    </row>
    <row r="31" ht="30" customHeight="1">
      <c r="A31" s="15" t="inlineStr">
        <is>
          <t>情景 S4 现金</t>
        </is>
      </c>
      <c r="B31" s="12" t="inlineStr">
        <is>
          <t>R4-A + R5-A + R3-A</t>
        </is>
      </c>
      <c r="C31" s="12" t="inlineStr">
        <is>
          <t>2000+5000+500</t>
        </is>
      </c>
      <c r="D31" s="12" t="inlineStr">
        <is>
          <t>全部正常成交</t>
        </is>
      </c>
      <c r="E31" s="57" t="n"/>
      <c r="F31" s="57" t="n"/>
      <c r="G31" s="57" t="n"/>
      <c r="H31" s="57" t="n"/>
      <c r="I31" s="57" t="n"/>
      <c r="J31" s="57" t="n"/>
      <c r="K31" s="15" t="inlineStr">
        <is>
          <t>触发现金告警,优先变现金/红利,不动 P01/P02</t>
        </is>
      </c>
    </row>
    <row r="34" ht="30" customHeight="1">
      <c r="A34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</sheetData>
  <mergeCells count="6">
    <mergeCell ref="A34:K34"/>
    <mergeCell ref="A7:L7"/>
    <mergeCell ref="A26:K26"/>
    <mergeCell ref="A1:L1"/>
    <mergeCell ref="A3:L3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影响：调整后组合 — 单条规则触发 + 4 个情景下的标的级/行业级变化</t>
        </is>
      </c>
    </row>
    <row r="3">
      <c r="A3" s="13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11" t="inlineStr">
        <is>
          <t>(1) 单一规则触发后的标的级变化（基于转出 5 万元已发生；总市值基线 982,660 CNY）</t>
        </is>
      </c>
    </row>
    <row r="6">
      <c r="A6" s="3" t="inlineStr">
        <is>
          <t>规则编号</t>
        </is>
      </c>
      <c r="B6" s="3" t="inlineStr">
        <is>
          <t>标的</t>
        </is>
      </c>
      <c r="C6" s="3" t="inlineStr">
        <is>
          <t>卖出前数量</t>
        </is>
      </c>
      <c r="D6" s="3" t="inlineStr">
        <is>
          <t>卖出后数量</t>
        </is>
      </c>
      <c r="E6" s="3" t="inlineStr">
        <is>
          <t>卖出前市值(CNY)</t>
        </is>
      </c>
      <c r="F6" s="3" t="inlineStr">
        <is>
          <t>卖出后市值(CNY)</t>
        </is>
      </c>
      <c r="G6" s="3" t="inlineStr">
        <is>
          <t>卖出前权重(%)</t>
        </is>
      </c>
      <c r="H6" s="3" t="inlineStr">
        <is>
          <t>卖出后权重(%)</t>
        </is>
      </c>
      <c r="I6" s="3" t="inlineStr">
        <is>
          <t>权重变化(pp)</t>
        </is>
      </c>
      <c r="J6" s="3" t="inlineStr">
        <is>
          <t>调整后</t>
        </is>
      </c>
    </row>
    <row r="7">
      <c r="A7" s="53" t="inlineStr">
        <is>
          <t>R1-A</t>
        </is>
      </c>
      <c r="B7" s="12" t="inlineStr">
        <is>
          <t>P01</t>
        </is>
      </c>
      <c r="C7" s="7" t="n">
        <v>5000</v>
      </c>
      <c r="D7" s="7" t="n">
        <v>2000</v>
      </c>
      <c r="E7" s="7" t="n">
        <v>164000</v>
      </c>
      <c r="F7" s="7" t="n">
        <v>65600</v>
      </c>
      <c r="G7" s="37" t="n">
        <v>0.1668939409358272</v>
      </c>
      <c r="H7" s="37" t="n">
        <v>0.0667575763743309</v>
      </c>
      <c r="I7" s="58" t="n">
        <v>-10.01363645614963</v>
      </c>
      <c r="J7" s="12" t="inlineStr">
        <is>
          <t>已计入</t>
        </is>
      </c>
    </row>
    <row r="8">
      <c r="A8" s="53" t="inlineStr">
        <is>
          <t>R1-B</t>
        </is>
      </c>
      <c r="B8" s="12" t="inlineStr">
        <is>
          <t>P01</t>
        </is>
      </c>
      <c r="C8" s="7" t="n">
        <v>5000</v>
      </c>
      <c r="D8" s="7" t="n">
        <v>2000</v>
      </c>
      <c r="E8" s="7" t="n">
        <v>164000</v>
      </c>
      <c r="F8" s="7" t="n">
        <v>65600</v>
      </c>
      <c r="G8" s="37" t="n">
        <v>0.1668939409358272</v>
      </c>
      <c r="H8" s="37" t="n">
        <v>0.0667575763743309</v>
      </c>
      <c r="I8" s="58" t="n">
        <v>-10.01363645614963</v>
      </c>
      <c r="J8" s="12" t="inlineStr">
        <is>
          <t>已计入</t>
        </is>
      </c>
    </row>
    <row r="9">
      <c r="A9" s="53" t="inlineStr">
        <is>
          <t>R2-A</t>
        </is>
      </c>
      <c r="B9" s="12" t="inlineStr">
        <is>
          <t>P02</t>
        </is>
      </c>
      <c r="C9" s="7" t="n">
        <v>3000</v>
      </c>
      <c r="D9" s="7" t="n">
        <v>2000</v>
      </c>
      <c r="E9" s="7" t="n">
        <v>175200</v>
      </c>
      <c r="F9" s="7" t="n">
        <v>116800</v>
      </c>
      <c r="G9" s="37" t="n">
        <v>0.1782915759265667</v>
      </c>
      <c r="H9" s="37" t="n">
        <v>0.1188610506177111</v>
      </c>
      <c r="I9" s="58" t="n">
        <v>-5.943052530885555</v>
      </c>
      <c r="J9" s="12" t="inlineStr">
        <is>
          <t>已计入</t>
        </is>
      </c>
    </row>
    <row r="10">
      <c r="A10" s="53" t="inlineStr">
        <is>
          <t>R2-B</t>
        </is>
      </c>
      <c r="B10" s="12" t="inlineStr">
        <is>
          <t>P02</t>
        </is>
      </c>
      <c r="C10" s="7" t="n">
        <v>3000</v>
      </c>
      <c r="D10" s="7" t="n">
        <v>2000</v>
      </c>
      <c r="E10" s="7" t="n">
        <v>175200</v>
      </c>
      <c r="F10" s="7" t="n">
        <v>116800</v>
      </c>
      <c r="G10" s="37" t="n">
        <v>0.1782915759265667</v>
      </c>
      <c r="H10" s="37" t="n">
        <v>0.1188610506177111</v>
      </c>
      <c r="I10" s="58" t="n">
        <v>-5.943052530885555</v>
      </c>
      <c r="J10" s="12" t="inlineStr">
        <is>
          <t>已计入</t>
        </is>
      </c>
    </row>
    <row r="11">
      <c r="A11" s="53" t="inlineStr">
        <is>
          <t>R3-A</t>
        </is>
      </c>
      <c r="B11" s="12" t="inlineStr">
        <is>
          <t>P05</t>
        </is>
      </c>
      <c r="C11" s="7" t="n">
        <v>2000</v>
      </c>
      <c r="D11" s="7" t="n">
        <v>1500</v>
      </c>
      <c r="E11" s="7" t="n">
        <v>210000</v>
      </c>
      <c r="F11" s="7" t="n">
        <v>157500</v>
      </c>
      <c r="G11" s="37" t="n">
        <v>0.2137056560763642</v>
      </c>
      <c r="H11" s="37" t="n">
        <v>0.1602792420572731</v>
      </c>
      <c r="I11" s="58" t="n">
        <v>-5.342641401909104</v>
      </c>
      <c r="J11" s="12" t="inlineStr">
        <is>
          <t>已计入</t>
        </is>
      </c>
    </row>
    <row r="12">
      <c r="A12" s="53" t="inlineStr">
        <is>
          <t>R3-B</t>
        </is>
      </c>
      <c r="B12" s="12" t="inlineStr">
        <is>
          <t>P05</t>
        </is>
      </c>
      <c r="C12" s="7" t="n">
        <v>2000</v>
      </c>
      <c r="D12" s="7" t="n">
        <v>1500</v>
      </c>
      <c r="E12" s="7" t="n">
        <v>210000</v>
      </c>
      <c r="F12" s="7" t="n">
        <v>157500</v>
      </c>
      <c r="G12" s="37" t="n">
        <v>0.2137056560763642</v>
      </c>
      <c r="H12" s="37" t="n">
        <v>0.1602792420572731</v>
      </c>
      <c r="I12" s="58" t="n">
        <v>-5.342641401909104</v>
      </c>
      <c r="J12" s="12" t="inlineStr">
        <is>
          <t>已计入</t>
        </is>
      </c>
    </row>
    <row r="13">
      <c r="A13" s="53" t="inlineStr">
        <is>
          <t>R4-A</t>
        </is>
      </c>
      <c r="B13" s="12" t="inlineStr">
        <is>
          <t>P03</t>
        </is>
      </c>
      <c r="C13" s="7" t="n">
        <v>5000</v>
      </c>
      <c r="D13" s="7" t="n">
        <v>3000</v>
      </c>
      <c r="E13" s="7" t="n">
        <v>47750</v>
      </c>
      <c r="F13" s="7" t="n">
        <v>28650</v>
      </c>
      <c r="G13" s="37" t="n">
        <v>0.04859259560783995</v>
      </c>
      <c r="H13" s="37" t="n">
        <v>0.02915555736470397</v>
      </c>
      <c r="I13" s="58" t="n">
        <v>-1.943703824313598</v>
      </c>
      <c r="J13" s="12" t="inlineStr">
        <is>
          <t>已计入</t>
        </is>
      </c>
    </row>
    <row r="14">
      <c r="A14" s="53" t="inlineStr">
        <is>
          <t>R5-A</t>
        </is>
      </c>
      <c r="B14" s="12" t="inlineStr">
        <is>
          <t>P06</t>
        </is>
      </c>
      <c r="C14" s="7" t="n">
        <v>10000</v>
      </c>
      <c r="D14" s="7" t="n">
        <v>5000</v>
      </c>
      <c r="E14" s="7" t="n">
        <v>28800</v>
      </c>
      <c r="F14" s="7" t="n">
        <v>14400</v>
      </c>
      <c r="G14" s="37" t="n">
        <v>0.02930820426190137</v>
      </c>
      <c r="H14" s="37" t="n">
        <v>0.01465410213095068</v>
      </c>
      <c r="I14" s="58" t="n">
        <v>-1.465410213095069</v>
      </c>
      <c r="J14" s="12" t="inlineStr">
        <is>
          <t>已计入</t>
        </is>
      </c>
    </row>
    <row r="15">
      <c r="A15" s="53" t="inlineStr">
        <is>
          <t>R6-B</t>
        </is>
      </c>
      <c r="B15" s="12" t="inlineStr">
        <is>
          <t>P07</t>
        </is>
      </c>
      <c r="C15" s="7" t="n">
        <v>10000</v>
      </c>
      <c r="D15" s="7" t="n">
        <v>5000</v>
      </c>
      <c r="E15" s="7" t="n">
        <v>133400</v>
      </c>
      <c r="F15" s="7" t="n">
        <v>66700</v>
      </c>
      <c r="G15" s="37" t="n">
        <v>0.135753973907557</v>
      </c>
      <c r="H15" s="37" t="n">
        <v>0.06787698695377851</v>
      </c>
      <c r="I15" s="58" t="n">
        <v>-6.787698695377851</v>
      </c>
      <c r="J15" s="12" t="inlineStr">
        <is>
          <t>已计入</t>
        </is>
      </c>
    </row>
    <row r="18">
      <c r="A18" s="11" t="inlineStr">
        <is>
          <t>(2) 4 个情景下的行业级变化</t>
        </is>
      </c>
    </row>
    <row r="19">
      <c r="A19" s="3" t="inlineStr">
        <is>
          <t>情景</t>
        </is>
      </c>
      <c r="B19" s="3" t="inlineStr">
        <is>
          <t>触发规则</t>
        </is>
      </c>
      <c r="C19" s="3" t="inlineStr">
        <is>
          <t>计算机行业占比</t>
        </is>
      </c>
      <c r="D19" s="3" t="inlineStr">
        <is>
          <t>电子行业占比</t>
        </is>
      </c>
      <c r="E19" s="3" t="inlineStr">
        <is>
          <t>现金占比 (CNY)</t>
        </is>
      </c>
      <c r="F19" s="3" t="inlineStr">
        <is>
          <t>净收入合计</t>
        </is>
      </c>
      <c r="G19" s="3" t="inlineStr">
        <is>
          <t>调整后总资产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情景选择依据</t>
        </is>
      </c>
    </row>
    <row r="20" ht="36" customHeight="1">
      <c r="A20" s="4" t="inlineStr">
        <is>
          <t>S1 保守</t>
        </is>
      </c>
      <c r="B20" s="12" t="inlineStr">
        <is>
          <t>R1-A + R3-A</t>
        </is>
      </c>
      <c r="C20" s="59" t="n">
        <v>0.3385708179838398</v>
      </c>
      <c r="D20" s="37" t="n">
        <v>0.06675757637433091</v>
      </c>
      <c r="E20" s="37" t="n">
        <v>0.247578324140598</v>
      </c>
      <c r="F20" s="7" t="n">
        <v>150785.316</v>
      </c>
      <c r="G20" s="7" t="n">
        <v>1133445.316</v>
      </c>
      <c r="J20" s="15" t="inlineStr">
        <is>
          <t>P01/P05 小幅减持,优先不触发 P02</t>
        </is>
      </c>
    </row>
    <row r="21" ht="36" customHeight="1">
      <c r="A21" s="4" t="inlineStr">
        <is>
          <t>S2 平衡</t>
        </is>
      </c>
      <c r="B21" s="12" t="inlineStr">
        <is>
          <t>R1-A + R2-A + R3-A</t>
        </is>
      </c>
      <c r="C21" s="60" t="n">
        <v>0.2791402926749842</v>
      </c>
      <c r="D21" s="37" t="n">
        <v>0.06675757637433091</v>
      </c>
      <c r="E21" s="37" t="n">
        <v>0.3069636822502188</v>
      </c>
      <c r="F21" s="7" t="n">
        <v>209140.932</v>
      </c>
      <c r="G21" s="7" t="n">
        <v>1191800.932</v>
      </c>
      <c r="J21" s="15" t="inlineStr">
        <is>
          <t>P02 开板后同步减持,行业集中度可降至 ~33%</t>
        </is>
      </c>
    </row>
    <row r="22" ht="36" customHeight="1">
      <c r="A22" s="4" t="inlineStr">
        <is>
          <t>S3 风险</t>
        </is>
      </c>
      <c r="B22" s="12" t="inlineStr">
        <is>
          <t>R1-B + R2-B + R3-B + R6-B</t>
        </is>
      </c>
      <c r="C22" s="60" t="n">
        <v>0.2791402926749842</v>
      </c>
      <c r="D22" s="37" t="n">
        <v>0.06675757637433091</v>
      </c>
      <c r="E22" s="37" t="n">
        <v>0.3747049152300898</v>
      </c>
      <c r="F22" s="7" t="n">
        <v>275707.532</v>
      </c>
      <c r="G22" s="7" t="n">
        <v>1258367.532</v>
      </c>
      <c r="J22" s="15" t="inlineStr">
        <is>
          <t>全部风险规则触发,现金显著增加,行业集中度大幅下降</t>
        </is>
      </c>
    </row>
    <row r="23" ht="36" customHeight="1">
      <c r="A23" s="4" t="inlineStr">
        <is>
          <t>S4 现金</t>
        </is>
      </c>
      <c r="B23" s="12" t="inlineStr">
        <is>
          <t>R4-A + R5-A + R3-A</t>
        </is>
      </c>
      <c r="C23" s="59" t="n">
        <v>0.3385708179838398</v>
      </c>
      <c r="D23" s="37" t="n">
        <v>0.1668939409358272</v>
      </c>
      <c r="E23" s="37" t="n">
        <v>0.1815871043901248</v>
      </c>
      <c r="F23" s="7" t="n">
        <v>85938.38400000001</v>
      </c>
      <c r="G23" s="7" t="n">
        <v>1068598.384</v>
      </c>
      <c r="J23" s="15" t="inlineStr">
        <is>
          <t>触发现金告警,优先变现金/红利,不动 P01/P02</t>
        </is>
      </c>
    </row>
    <row r="26" ht="30" customHeight="1">
      <c r="A26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</sheetData>
  <mergeCells count="5">
    <mergeCell ref="A1:J1"/>
    <mergeCell ref="A5:J5"/>
    <mergeCell ref="A18:J18"/>
    <mergeCell ref="A3:J3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6" customWidth="1" min="3" max="3"/>
    <col width="12" customWidth="1" min="4" max="4"/>
    <col width="24" customWidth="1" min="5" max="5"/>
  </cols>
  <sheetData>
    <row r="1">
      <c r="A1" s="1" t="inlineStr">
        <is>
          <t>待确认事项（供组合经理/客户核对；本工作簿不构成下单指令）</t>
        </is>
      </c>
    </row>
    <row r="3" ht="30" customHeight="1">
      <c r="A3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  <row r="5">
      <c r="A5" s="3" t="inlineStr">
        <is>
          <t>编号</t>
        </is>
      </c>
      <c r="B5" s="3" t="inlineStr">
        <is>
          <t>事项</t>
        </is>
      </c>
      <c r="C5" s="3" t="inlineStr">
        <is>
          <t>现状 / 假设</t>
        </is>
      </c>
      <c r="D5" s="3" t="inlineStr">
        <is>
          <t>优先级</t>
        </is>
      </c>
      <c r="E5" s="3" t="inlineStr">
        <is>
          <t>建议确认方式</t>
        </is>
      </c>
    </row>
    <row r="6" ht="40" customHeight="1">
      <c r="A6" s="4" t="inlineStr">
        <is>
          <t>R-1</t>
        </is>
      </c>
      <c r="B6" s="15" t="inlineStr">
        <is>
          <t>源 .docx 文本提取在本运行环境受限</t>
        </is>
      </c>
      <c r="C6" s="15" t="inlineStr">
        <is>
          <t>账户授权约束中的部分阈值可能需要经理人工核对后回填</t>
        </is>
      </c>
      <c r="D6" s="61" t="inlineStr">
        <is>
          <t>高</t>
        </is>
      </c>
      <c r="E6" s="15" t="inlineStr">
        <is>
          <t>经理人工核对 .docx 实际阈值</t>
        </is>
      </c>
    </row>
    <row r="7" ht="40" customHeight="1">
      <c r="A7" s="4" t="inlineStr">
        <is>
          <t>R-2</t>
        </is>
      </c>
      <c r="B7" s="15" t="inlineStr">
        <is>
          <t>目标文件名由源文件复制并改名</t>
        </is>
      </c>
      <c r="C7" s="15" t="inlineStr">
        <is>
          <t>源 xlsx 与目标 xlsx 内容相同;如需原文件名保留,请提前备份</t>
        </is>
      </c>
      <c r="D7" s="62" t="inlineStr">
        <is>
          <t>中</t>
        </is>
      </c>
      <c r="E7" s="15" t="inlineStr">
        <is>
          <t>确认是否需要保留两份</t>
        </is>
      </c>
    </row>
    <row r="8" ht="40" customHeight="1">
      <c r="A8" s="4" t="inlineStr">
        <is>
          <t>Q-1</t>
        </is>
      </c>
      <c r="B8" s="15" t="inlineStr">
        <is>
          <t>账户总额两套记录差额 -3,660 CNY 的具体口径来源</t>
        </is>
      </c>
      <c r="C8" s="15" t="inlineStr">
        <is>
          <t>托管系统已与四项加和勾兑;手工差额可能源于 USD/费用/分红时点</t>
        </is>
      </c>
      <c r="D8" s="61" t="inlineStr">
        <is>
          <t>高</t>
        </is>
      </c>
      <c r="E8" s="15" t="inlineStr">
        <is>
          <t>向托管机构确认 8/14 15:10 手工记录的口径</t>
        </is>
      </c>
    </row>
    <row r="9" ht="40" customHeight="1">
      <c r="A9" s="4" t="inlineStr">
        <is>
          <t>Q-2</t>
        </is>
      </c>
      <c r="B9" s="15" t="inlineStr">
        <is>
          <t>单行业上限 30% / 单股上限 20% 是否为 .docx 实际授权</t>
        </is>
      </c>
      <c r="C9" s="15" t="inlineStr">
        <is>
          <t>采用行业惯例;需确认客户实际授权要求</t>
        </is>
      </c>
      <c r="D9" s="61" t="inlineStr">
        <is>
          <t>高</t>
        </is>
      </c>
      <c r="E9" s="15" t="inlineStr">
        <is>
          <t>复核 .docx 中的'组合约束'章节</t>
        </is>
      </c>
    </row>
    <row r="10" ht="40" customHeight="1">
      <c r="A10" s="4" t="inlineStr">
        <is>
          <t>Q-3</t>
        </is>
      </c>
      <c r="B10" s="15" t="inlineStr">
        <is>
          <t>现金下限 5% / 6个月回撤 10% 是否为客户实际目标</t>
        </is>
      </c>
      <c r="C10" s="15" t="inlineStr">
        <is>
          <t>采用客户口头表述;需书面确认</t>
        </is>
      </c>
      <c r="D10" s="61" t="inlineStr">
        <is>
          <t>高</t>
        </is>
      </c>
      <c r="E10" s="15" t="inlineStr">
        <is>
          <t>客户书面确认</t>
        </is>
      </c>
    </row>
    <row r="11" ht="40" customHeight="1">
      <c r="A11" s="4" t="inlineStr">
        <is>
          <t>Q-4</t>
        </is>
      </c>
      <c r="B11" s="15" t="inlineStr">
        <is>
          <t>费率假设 (A 股 0.076% / ETF 0.050% / 港股通 0.200%)</t>
        </is>
      </c>
      <c r="C11" s="15" t="inlineStr">
        <is>
          <t>按行业惯例;不含印花税;以券商实际为准</t>
        </is>
      </c>
      <c r="D11" s="62" t="inlineStr">
        <is>
          <t>中</t>
        </is>
      </c>
      <c r="E11" s="15" t="inlineStr">
        <is>
          <t>向券商核对双边费率</t>
        </is>
      </c>
    </row>
    <row r="12" ht="40" customHeight="1">
      <c r="A12" s="4" t="inlineStr">
        <is>
          <t>Q-5</t>
        </is>
      </c>
      <c r="B12" s="15" t="inlineStr">
        <is>
          <t>P01 T+1 处置时机</t>
        </is>
      </c>
      <c r="C12" s="15" t="inlineStr">
        <is>
          <t>建议 2026-09-14 (周一) T+1 解锁后处理;但当日集合竞价成交不确定</t>
        </is>
      </c>
      <c r="D12" s="62" t="inlineStr">
        <is>
          <t>中</t>
        </is>
      </c>
      <c r="E12" s="15" t="inlineStr">
        <is>
          <t>9/14 开盘观察流动性后决定</t>
        </is>
      </c>
    </row>
    <row r="13" ht="40" customHeight="1">
      <c r="A13" s="4" t="inlineStr">
        <is>
          <t>Q-6</t>
        </is>
      </c>
      <c r="B13" s="15" t="inlineStr">
        <is>
          <t>P02 跌停次日判定口径</t>
        </is>
      </c>
      <c r="C13" s="15" t="inlineStr">
        <is>
          <t>若 8/15 开板 + 继续下跌,触发 R2-B;若继续跌停,触发 R2-C</t>
        </is>
      </c>
      <c r="D13" s="62" t="inlineStr">
        <is>
          <t>中</t>
        </is>
      </c>
      <c r="E13" s="15" t="inlineStr">
        <is>
          <t>8/15 开盘观察</t>
        </is>
      </c>
    </row>
    <row r="14" ht="40" customHeight="1">
      <c r="A14" s="4" t="inlineStr">
        <is>
          <t>Q-7</t>
        </is>
      </c>
      <c r="B14" s="15" t="inlineStr">
        <is>
          <t>P04 复牌后预案</t>
        </is>
      </c>
      <c r="C14" s="15" t="inlineStr">
        <is>
          <t>复牌日未明,可能短期内不动;若复牌补跌,需重新评估</t>
        </is>
      </c>
      <c r="D14" s="21" t="inlineStr">
        <is>
          <t>低</t>
        </is>
      </c>
      <c r="E14" s="15" t="inlineStr">
        <is>
          <t>等待复牌公告</t>
        </is>
      </c>
    </row>
    <row r="15" ht="40" customHeight="1">
      <c r="A15" s="4" t="inlineStr">
        <is>
          <t>Q-8</t>
        </is>
      </c>
      <c r="B15" s="15" t="inlineStr">
        <is>
          <t>P07 港币贬值触发幅度</t>
        </is>
      </c>
      <c r="C15" s="15" t="inlineStr">
        <is>
          <t>采用 HKD/CNY ≤ 0.85 启动 R6-B;是否更激进?</t>
        </is>
      </c>
      <c r="D15" s="21" t="inlineStr">
        <is>
          <t>低</t>
        </is>
      </c>
      <c r="E15" s="15" t="inlineStr">
        <is>
          <t>客户风险偏好确认</t>
        </is>
      </c>
    </row>
    <row r="16" ht="40" customHeight="1">
      <c r="A16" s="4" t="inlineStr">
        <is>
          <t>Q-9</t>
        </is>
      </c>
      <c r="B16" s="15" t="inlineStr">
        <is>
          <t>未来六个月窗口内是否还有额外 5 万流动性需求</t>
        </is>
      </c>
      <c r="C16" s="15" t="inlineStr">
        <is>
          <t>本工作簿假设仅 9/14 转出 5 万元</t>
        </is>
      </c>
      <c r="D16" s="62" t="inlineStr">
        <is>
          <t>中</t>
        </is>
      </c>
      <c r="E16" s="15" t="inlineStr">
        <is>
          <t>客户书面确认未来 6 个月现金流计划</t>
        </is>
      </c>
    </row>
    <row r="17" ht="40" customHeight="1">
      <c r="A17" s="4" t="inlineStr">
        <is>
          <t>Q-10</t>
        </is>
      </c>
      <c r="B17" s="15" t="inlineStr">
        <is>
          <t>客户对科技仓位集中度是否方向性偏好</t>
        </is>
      </c>
      <c r="C17" s="15" t="inlineStr">
        <is>
          <t>当前计算机行业 37.55% 超 30% 阈值,需减持</t>
        </is>
      </c>
      <c r="D17" s="62" t="inlineStr">
        <is>
          <t>中</t>
        </is>
      </c>
      <c r="E17" s="15" t="inlineStr">
        <is>
          <t>客户确认减持方向</t>
        </is>
      </c>
    </row>
    <row r="18" ht="40" customHeight="1">
      <c r="A18" s="4" t="inlineStr">
        <is>
          <t>Q-11</t>
        </is>
      </c>
      <c r="B18" s="15" t="inlineStr">
        <is>
          <t>明确'不下单承诺'</t>
        </is>
      </c>
      <c r="C18" s="15" t="inlineStr">
        <is>
          <t>本工作簿不构成下单指令;实际交易需另行下单流程</t>
        </is>
      </c>
      <c r="D18" s="61" t="inlineStr">
        <is>
          <t>高</t>
        </is>
      </c>
      <c r="E18" s="15" t="inlineStr">
        <is>
          <t>组合经理/客户书面确认</t>
        </is>
      </c>
    </row>
    <row r="21" ht="30" customHeight="1">
      <c r="A21" s="2" t="inlineStr">
        <is>
          <t>本工作簿仅供调仓前分析，不代表已经下单；不构成任何下单指令；不得以保证回本或收益作为调整依据。所有结论基于附件原始数据，未补充外部行情。</t>
        </is>
      </c>
    </row>
  </sheetData>
  <mergeCells count="3">
    <mergeCell ref="A21:E2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2026-09-11T09:34:25Z</dcterms:created>
  <dcterms:modified xsi:type="dcterms:W3CDTF">2026-09-11T09:34:25Z</dcterms:modified>
</cp:coreProperties>
</file>