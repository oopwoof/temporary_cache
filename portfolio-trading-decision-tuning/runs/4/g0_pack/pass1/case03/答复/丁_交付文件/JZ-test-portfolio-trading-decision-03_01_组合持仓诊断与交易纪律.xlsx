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账户核对与口径" sheetId="1" state="visible" r:id="rId1"/>
    <sheet xmlns:r="http://schemas.openxmlformats.org/officeDocument/2006/relationships" name="02_原始持仓批次" sheetId="2" state="visible" r:id="rId2"/>
    <sheet xmlns:r="http://schemas.openxmlformats.org/officeDocument/2006/relationships" name="03_原始行情与状态" sheetId="3" state="visible" r:id="rId3"/>
    <sheet xmlns:r="http://schemas.openxmlformats.org/officeDocument/2006/relationships" name="04_原始风险暴露" sheetId="4" state="visible" r:id="rId4"/>
    <sheet xmlns:r="http://schemas.openxmlformats.org/officeDocument/2006/relationships" name="05_批次成本与盈亏复核" sheetId="5" state="visible" r:id="rId5"/>
    <sheet xmlns:r="http://schemas.openxmlformats.org/officeDocument/2006/relationships" name="06_权重集中度与外币" sheetId="6" state="visible" r:id="rId6"/>
    <sheet xmlns:r="http://schemas.openxmlformats.org/officeDocument/2006/relationships" name="07_风险约束检查" sheetId="7" state="visible" r:id="rId7"/>
    <sheet xmlns:r="http://schemas.openxmlformats.org/officeDocument/2006/relationships" name="08_可交易数量与流动性" sheetId="8" state="visible" r:id="rId8"/>
    <sheet xmlns:r="http://schemas.openxmlformats.org/officeDocument/2006/relationships" name="09_资金转出影响" sheetId="9" state="visible" r:id="rId9"/>
    <sheet xmlns:r="http://schemas.openxmlformats.org/officeDocument/2006/relationships" name="10_调仓条件规则与费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i val="1"/>
      <color rgb="00666666"/>
      <sz val="9"/>
    </font>
    <font>
      <name val="微软雅黑"/>
      <i val="1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4" fontId="4" fillId="0" borderId="1" applyAlignment="1" pivotButton="0" quotePrefix="0" xfId="0">
      <alignment vertical="center" wrapText="1"/>
    </xf>
    <xf numFmtId="1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3" borderId="1" pivotButton="0" quotePrefix="0" xfId="0"/>
    <xf numFmtId="4" fontId="2" fillId="3" borderId="1" pivotButton="0" quotePrefix="0" xfId="0"/>
    <xf numFmtId="10" fontId="2" fillId="3" borderId="1" pivotButton="0" quotePrefix="0" xfId="0"/>
    <xf numFmtId="0" fontId="4" fillId="4" borderId="1" applyAlignment="1" pivotButton="0" quotePrefix="0" xfId="0">
      <alignment vertical="center" wrapText="1"/>
    </xf>
    <xf numFmtId="4" fontId="4" fillId="4" borderId="1" applyAlignment="1" pivotButton="0" quotePrefix="0" xfId="0">
      <alignment vertical="center" wrapText="1"/>
    </xf>
    <xf numFmtId="1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6" borderId="1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14" customWidth="1" min="5" max="5"/>
    <col width="40" customWidth="1" min="6" max="6"/>
  </cols>
  <sheetData>
    <row r="1">
      <c r="A1" s="1" t="inlineStr">
        <is>
          <t>账户总资产核对与采用口径说明</t>
        </is>
      </c>
    </row>
    <row r="3">
      <c r="A3" s="2" t="inlineStr">
        <is>
          <t>一、账户原始记录（保留自附件《持仓快照与交易状态.xlsx》-账户汇总）</t>
        </is>
      </c>
    </row>
    <row r="4">
      <c r="A4" s="3" t="inlineStr">
        <is>
          <t>字段</t>
        </is>
      </c>
      <c r="B4" s="3" t="inlineStr">
        <is>
          <t>数值</t>
        </is>
      </c>
      <c r="C4" s="3" t="inlineStr">
        <is>
          <t>币种或单位</t>
        </is>
      </c>
      <c r="D4" s="3" t="inlineStr">
        <is>
          <t>记录时间</t>
        </is>
      </c>
      <c r="E4" s="3" t="inlineStr">
        <is>
          <t>来源</t>
        </is>
      </c>
      <c r="F4" s="3" t="inlineStr">
        <is>
          <t>备注</t>
        </is>
      </c>
    </row>
    <row r="5">
      <c r="A5" s="4" t="inlineStr">
        <is>
          <t>证券市值小计</t>
        </is>
      </c>
      <c r="B5" s="4" t="n">
        <v>869820</v>
      </c>
      <c r="C5" s="4" t="inlineStr">
        <is>
          <t>人民币元</t>
        </is>
      </c>
      <c r="D5" s="4" t="inlineStr">
        <is>
          <t>2026-08-14 15:05</t>
        </is>
      </c>
      <c r="E5" s="4" t="inlineStr">
        <is>
          <t>托管系统</t>
        </is>
      </c>
      <c r="F5" s="4" t="inlineStr">
        <is>
          <t>已由持仓明细复核一致</t>
        </is>
      </c>
    </row>
    <row r="6">
      <c r="A6" s="4" t="inlineStr">
        <is>
          <t>人民币可用现金</t>
        </is>
      </c>
      <c r="B6" s="4" t="n">
        <v>142500</v>
      </c>
      <c r="C6" s="4" t="inlineStr">
        <is>
          <t>人民币元</t>
        </is>
      </c>
      <c r="D6" s="4" t="inlineStr">
        <is>
          <t>2026-08-14 15:05</t>
        </is>
      </c>
      <c r="E6" s="4" t="inlineStr">
        <is>
          <t>资金系统</t>
        </is>
      </c>
      <c r="F6" s="4" t="inlineStr"/>
    </row>
    <row r="7">
      <c r="A7" s="4" t="inlineStr">
        <is>
          <t>美元现金</t>
        </is>
      </c>
      <c r="B7" s="4" t="n">
        <v>3000</v>
      </c>
      <c r="C7" s="4" t="inlineStr">
        <is>
          <t>美元</t>
        </is>
      </c>
      <c r="D7" s="4" t="inlineStr">
        <is>
          <t>2026-08-14 15:05</t>
        </is>
      </c>
      <c r="E7" s="4" t="inlineStr">
        <is>
          <t>资金系统</t>
        </is>
      </c>
      <c r="F7" s="4" t="inlineStr">
        <is>
          <t>按7.18折算=21,540元</t>
        </is>
      </c>
    </row>
    <row r="8">
      <c r="A8" s="4" t="inlineStr">
        <is>
          <t>美元兑人民币折算汇率</t>
        </is>
      </c>
      <c r="B8" s="4" t="n">
        <v>7.18</v>
      </c>
      <c r="C8" s="4" t="inlineStr">
        <is>
          <t>人民币/美元</t>
        </is>
      </c>
      <c r="D8" s="4" t="inlineStr">
        <is>
          <t>2026-08-14 15:00</t>
        </is>
      </c>
      <c r="E8" s="4" t="inlineStr">
        <is>
          <t>内部估值表</t>
        </is>
      </c>
      <c r="F8" s="4" t="inlineStr"/>
    </row>
    <row r="9">
      <c r="A9" s="4" t="inlineStr">
        <is>
          <t>待扣费用</t>
        </is>
      </c>
      <c r="B9" s="4" t="n">
        <v>1200</v>
      </c>
      <c r="C9" s="4" t="inlineStr">
        <is>
          <t>人民币元</t>
        </is>
      </c>
      <c r="D9" s="4" t="inlineStr">
        <is>
          <t>2026-08-14 15:05</t>
        </is>
      </c>
      <c r="E9" s="4" t="inlineStr">
        <is>
          <t>托管系统</t>
        </is>
      </c>
      <c r="F9" s="4" t="inlineStr">
        <is>
          <t>已从总资产中扣减</t>
        </is>
      </c>
    </row>
    <row r="10">
      <c r="A10" s="4" t="inlineStr">
        <is>
          <t>账户总资产记录</t>
        </is>
      </c>
      <c r="B10" s="4" t="n">
        <v>1032660</v>
      </c>
      <c r="C10" s="4" t="inlineStr">
        <is>
          <t>人民币元</t>
        </is>
      </c>
      <c r="D10" s="4" t="inlineStr">
        <is>
          <t>2026-08-14 15:05</t>
        </is>
      </c>
      <c r="E10" s="4" t="inlineStr">
        <is>
          <t>托管系统</t>
        </is>
      </c>
      <c r="F10" s="4" t="inlineStr">
        <is>
          <t>组件可复核</t>
        </is>
      </c>
    </row>
    <row r="11">
      <c r="A11" s="4" t="inlineStr">
        <is>
          <t>组合经理手工记录总资产</t>
        </is>
      </c>
      <c r="B11" s="4" t="n">
        <v>1029000</v>
      </c>
      <c r="C11" s="4" t="inlineStr">
        <is>
          <t>人民币元</t>
        </is>
      </c>
      <c r="D11" s="4" t="inlineStr">
        <is>
          <t>2026-08-14 15:10</t>
        </is>
      </c>
      <c r="E11" s="4" t="inlineStr">
        <is>
          <t>组合工作表</t>
        </is>
      </c>
      <c r="F11" s="4" t="inlineStr">
        <is>
          <t>差异见下方分析</t>
        </is>
      </c>
    </row>
    <row r="12">
      <c r="A12" s="4" t="inlineStr">
        <is>
          <t>本周计划净流出</t>
        </is>
      </c>
      <c r="B12" s="4" t="n">
        <v>50000</v>
      </c>
      <c r="C12" s="4" t="inlineStr">
        <is>
          <t>人民币元</t>
        </is>
      </c>
      <c r="D12" s="4" t="inlineStr">
        <is>
          <t>2026-08-17</t>
        </is>
      </c>
      <c r="E12" s="4" t="inlineStr">
        <is>
          <t>客户已确认</t>
        </is>
      </c>
      <c r="F12" s="4" t="inlineStr">
        <is>
          <t>下周一转出</t>
        </is>
      </c>
    </row>
    <row r="14">
      <c r="A14" s="2" t="inlineStr">
        <is>
          <t>二、两套总资产记录差异核对</t>
        </is>
      </c>
    </row>
    <row r="15">
      <c r="A15" s="3" t="inlineStr">
        <is>
          <t>项目</t>
        </is>
      </c>
      <c r="B15" s="3" t="inlineStr">
        <is>
          <t>金额（元）</t>
        </is>
      </c>
      <c r="C15" s="3" t="inlineStr">
        <is>
          <t>计算说明</t>
        </is>
      </c>
    </row>
    <row r="16">
      <c r="A16" s="4" t="inlineStr">
        <is>
          <t>证券市值（持仓明细加总）</t>
        </is>
      </c>
      <c r="B16" s="4" t="n">
        <v>869820</v>
      </c>
      <c r="C16" s="4" t="inlineStr">
        <is>
          <t>P01~P07按当前价及港币汇率0.92折算后加总，与托管系统869,820一致</t>
        </is>
      </c>
    </row>
    <row r="17">
      <c r="A17" s="4" t="inlineStr">
        <is>
          <t>人民币可用现金</t>
        </is>
      </c>
      <c r="B17" s="4" t="n">
        <v>142500</v>
      </c>
      <c r="C17" s="4" t="inlineStr">
        <is>
          <t>资金系统记录</t>
        </is>
      </c>
    </row>
    <row r="18">
      <c r="A18" s="4" t="inlineStr">
        <is>
          <t>美元现金折算</t>
        </is>
      </c>
      <c r="B18" s="4" t="n">
        <v>21540</v>
      </c>
      <c r="C18" s="4" t="inlineStr">
        <is>
          <t>3,000美元 × 7.18</t>
        </is>
      </c>
    </row>
    <row r="19">
      <c r="A19" s="4" t="inlineStr">
        <is>
          <t>减：待扣费用</t>
        </is>
      </c>
      <c r="B19" s="4" t="n">
        <v>-1200</v>
      </c>
      <c r="C19" s="4" t="inlineStr">
        <is>
          <t>托管系统记录</t>
        </is>
      </c>
    </row>
    <row r="20">
      <c r="A20" s="4" t="inlineStr">
        <is>
          <t>托管系统总资产（可复核）</t>
        </is>
      </c>
      <c r="B20" s="4" t="n">
        <v>1032660</v>
      </c>
      <c r="C20" s="4">
        <f> 869,820 + 142,500 + 21,540 - 1,200</f>
        <v/>
      </c>
    </row>
    <row r="21">
      <c r="A21" s="4" t="inlineStr">
        <is>
          <t>组合经理手工记录总资产</t>
        </is>
      </c>
      <c r="B21" s="4" t="n">
        <v>1029000</v>
      </c>
      <c r="C21" s="4" t="inlineStr">
        <is>
          <t>附件记录，未附明细分解</t>
        </is>
      </c>
    </row>
    <row r="22">
      <c r="A22" s="4" t="inlineStr">
        <is>
          <t>差异（托管系统 − 手工记录）</t>
        </is>
      </c>
      <c r="B22" s="4" t="n">
        <v>3660</v>
      </c>
      <c r="C22" s="4" t="inlineStr">
        <is>
          <t>托管系统高出3,660元，差异率0.35%</t>
        </is>
      </c>
    </row>
    <row r="24">
      <c r="A24" s="2" t="inlineStr">
        <is>
          <t>三、差异原因分析与采用口径</t>
        </is>
      </c>
    </row>
    <row r="25" ht="30" customHeight="1">
      <c r="A25" s="5" t="inlineStr">
        <is>
          <t>1. 托管系统记录1,032,660元可由证券市值、现金、汇率和待扣费用四项组件完整复核，勾稽关系成立。</t>
        </is>
      </c>
    </row>
    <row r="26" ht="30" customHeight="1">
      <c r="A26" s="5" t="inlineStr">
        <is>
          <t>2. 组合经理手工记录1,029,000元较托管系统低3,660元（0.35%），附件未提供手工记录的明细分解，无法从组件层面定位唯一原因。</t>
        </is>
      </c>
    </row>
    <row r="27" ht="30" customHeight="1">
      <c r="A27" s="5" t="inlineStr">
        <is>
          <t>3. 可能的差异来源（均无法从附件直接证实）：①P04自8月14日停牌，手工记录可能对停牌证券采用了折价估值（若折价约4.9%，对应约3,660元）；②港币/美元汇率取值与内部估值表存在细微差异；③手工汇总时的四舍五入或转录误差。</t>
        </is>
      </c>
    </row>
    <row r="28" ht="30" customHeight="1">
      <c r="A28" s="5" t="inlineStr">
        <is>
          <t>4. 采用口径：本工作簿的约束检查、权重计算和交易测算均以托管系统记录1,032,660元为基准总资产，理由是该数字可由附件组件逐项复核、具备可审计性。</t>
        </is>
      </c>
    </row>
    <row r="29" ht="30" customHeight="1">
      <c r="A29" s="5" t="inlineStr">
        <is>
          <t>5. 敏感性提示：若以手工记录1,029,000元为分母，各项约束比例会进一步上升（分母更小），超限幅度略增。例如P05单票权重由20.34%升至20.41%，科技主题由66.81%升至67.05%。因此无论采用哪套口径，超限结论不变。</t>
        </is>
      </c>
    </row>
    <row r="30" ht="30" customHeight="1">
      <c r="A30" s="5" t="inlineStr">
        <is>
          <t>6. 建议调仓执行前由组合经理确认手工记录差异来源；若差异源于停牌折价，则P04复牌后需重新评估其市值与约束影响。</t>
        </is>
      </c>
    </row>
  </sheetData>
  <mergeCells count="7">
    <mergeCell ref="A28:F28"/>
    <mergeCell ref="A1:F1"/>
    <mergeCell ref="A27:F27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0" customWidth="1" min="5" max="5"/>
    <col width="12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原始持仓批次记录（保留自附件，未做修改）</t>
        </is>
      </c>
    </row>
    <row r="3">
      <c r="A3" s="3" t="inlineStr">
        <is>
          <t>证券ID</t>
        </is>
      </c>
      <c r="B3" s="3" t="inlineStr">
        <is>
          <t>证券类型</t>
        </is>
      </c>
      <c r="C3" s="3" t="inlineStr">
        <is>
          <t>行业或主题</t>
        </is>
      </c>
      <c r="D3" s="3" t="inlineStr">
        <is>
          <t>批次日期</t>
        </is>
      </c>
      <c r="E3" s="3" t="inlineStr">
        <is>
          <t>数量</t>
        </is>
      </c>
      <c r="F3" s="3" t="inlineStr">
        <is>
          <t>单位成本</t>
        </is>
      </c>
      <c r="G3" s="3" t="inlineStr">
        <is>
          <t>成本币种</t>
        </is>
      </c>
      <c r="H3" s="3" t="inlineStr">
        <is>
          <t>是否当日买入</t>
        </is>
      </c>
      <c r="I3" s="3" t="inlineStr">
        <is>
          <t>当前价格</t>
        </is>
      </c>
      <c r="J3" s="3" t="inlineStr">
        <is>
          <t>价格币种</t>
        </is>
      </c>
    </row>
    <row r="4">
      <c r="A4" s="4" t="inlineStr">
        <is>
          <t>P01</t>
        </is>
      </c>
      <c r="B4" s="4" t="inlineStr">
        <is>
          <t>A股</t>
        </is>
      </c>
      <c r="C4" s="4" t="inlineStr">
        <is>
          <t>电子</t>
        </is>
      </c>
      <c r="D4" s="4" t="inlineStr">
        <is>
          <t>科技</t>
        </is>
      </c>
      <c r="E4" s="4" t="inlineStr">
        <is>
          <t>高</t>
        </is>
      </c>
      <c r="F4" s="4" t="inlineStr">
        <is>
          <t>2026-05-10</t>
        </is>
      </c>
      <c r="G4" s="4" t="n">
        <v>2500</v>
      </c>
      <c r="H4" s="4" t="n">
        <v>43.2</v>
      </c>
      <c r="I4" s="4" t="inlineStr">
        <is>
          <t>人民币</t>
        </is>
      </c>
      <c r="J4" s="4" t="inlineStr">
        <is>
          <t>否</t>
        </is>
      </c>
    </row>
    <row r="5">
      <c r="A5" s="4" t="inlineStr">
        <is>
          <t>P01</t>
        </is>
      </c>
      <c r="B5" s="4" t="inlineStr">
        <is>
          <t>A股</t>
        </is>
      </c>
      <c r="C5" s="4" t="inlineStr">
        <is>
          <t>电子</t>
        </is>
      </c>
      <c r="D5" s="4" t="inlineStr">
        <is>
          <t>科技</t>
        </is>
      </c>
      <c r="E5" s="4" t="inlineStr">
        <is>
          <t>高</t>
        </is>
      </c>
      <c r="F5" s="4" t="inlineStr">
        <is>
          <t>2026-07-02</t>
        </is>
      </c>
      <c r="G5" s="4" t="n">
        <v>1500</v>
      </c>
      <c r="H5" s="4" t="n">
        <v>37.5</v>
      </c>
      <c r="I5" s="4" t="inlineStr">
        <is>
          <t>人民币</t>
        </is>
      </c>
      <c r="J5" s="4" t="inlineStr">
        <is>
          <t>否</t>
        </is>
      </c>
    </row>
    <row r="6">
      <c r="A6" s="4" t="inlineStr">
        <is>
          <t>P01</t>
        </is>
      </c>
      <c r="B6" s="4" t="inlineStr">
        <is>
          <t>A股</t>
        </is>
      </c>
      <c r="C6" s="4" t="inlineStr">
        <is>
          <t>电子</t>
        </is>
      </c>
      <c r="D6" s="4" t="inlineStr">
        <is>
          <t>科技</t>
        </is>
      </c>
      <c r="E6" s="4" t="inlineStr">
        <is>
          <t>高</t>
        </is>
      </c>
      <c r="F6" s="4" t="inlineStr">
        <is>
          <t>2026-08-14</t>
        </is>
      </c>
      <c r="G6" s="4" t="n">
        <v>1000</v>
      </c>
      <c r="H6" s="4" t="n">
        <v>31.9</v>
      </c>
      <c r="I6" s="4" t="inlineStr">
        <is>
          <t>人民币</t>
        </is>
      </c>
      <c r="J6" s="4" t="inlineStr">
        <is>
          <t>是</t>
        </is>
      </c>
    </row>
    <row r="7">
      <c r="A7" s="4" t="inlineStr">
        <is>
          <t>P02</t>
        </is>
      </c>
      <c r="B7" s="4" t="inlineStr">
        <is>
          <t>A股</t>
        </is>
      </c>
      <c r="C7" s="4" t="inlineStr">
        <is>
          <t>计算机</t>
        </is>
      </c>
      <c r="D7" s="4" t="inlineStr">
        <is>
          <t>科技</t>
        </is>
      </c>
      <c r="E7" s="4" t="inlineStr">
        <is>
          <t>高</t>
        </is>
      </c>
      <c r="F7" s="4" t="inlineStr">
        <is>
          <t>2026-03-18</t>
        </is>
      </c>
      <c r="G7" s="4" t="n">
        <v>3000</v>
      </c>
      <c r="H7" s="4" t="n">
        <v>54.2</v>
      </c>
      <c r="I7" s="4" t="inlineStr">
        <is>
          <t>人民币</t>
        </is>
      </c>
      <c r="J7" s="4" t="inlineStr">
        <is>
          <t>否</t>
        </is>
      </c>
    </row>
    <row r="8">
      <c r="A8" s="4" t="inlineStr">
        <is>
          <t>P03</t>
        </is>
      </c>
      <c r="B8" s="4" t="inlineStr">
        <is>
          <t>A股</t>
        </is>
      </c>
      <c r="C8" s="4" t="inlineStr">
        <is>
          <t>医药</t>
        </is>
      </c>
      <c r="D8" s="4" t="inlineStr">
        <is>
          <t>医药</t>
        </is>
      </c>
      <c r="E8" s="4" t="inlineStr">
        <is>
          <t>中</t>
        </is>
      </c>
      <c r="F8" s="4" t="inlineStr">
        <is>
          <t>2026-04-11</t>
        </is>
      </c>
      <c r="G8" s="4" t="n">
        <v>8000</v>
      </c>
      <c r="H8" s="4" t="n">
        <v>10.3</v>
      </c>
      <c r="I8" s="4" t="inlineStr">
        <is>
          <t>人民币</t>
        </is>
      </c>
      <c r="J8" s="4" t="inlineStr">
        <is>
          <t>否</t>
        </is>
      </c>
    </row>
    <row r="9">
      <c r="A9" s="4" t="inlineStr">
        <is>
          <t>P04</t>
        </is>
      </c>
      <c r="B9" s="4" t="inlineStr">
        <is>
          <t>A股</t>
        </is>
      </c>
      <c r="C9" s="4" t="inlineStr">
        <is>
          <t>工业</t>
        </is>
      </c>
      <c r="D9" s="4" t="inlineStr">
        <is>
          <t>工业</t>
        </is>
      </c>
      <c r="E9" s="4" t="inlineStr">
        <is>
          <t>中</t>
        </is>
      </c>
      <c r="F9" s="4" t="inlineStr">
        <is>
          <t>2026-01-20</t>
        </is>
      </c>
      <c r="G9" s="4" t="n">
        <v>6000</v>
      </c>
      <c r="H9" s="4" t="n">
        <v>11.9</v>
      </c>
      <c r="I9" s="4" t="inlineStr">
        <is>
          <t>人民币</t>
        </is>
      </c>
      <c r="J9" s="4" t="inlineStr">
        <is>
          <t>否</t>
        </is>
      </c>
    </row>
    <row r="10">
      <c r="A10" s="4" t="inlineStr">
        <is>
          <t>P05</t>
        </is>
      </c>
      <c r="B10" s="4" t="inlineStr">
        <is>
          <t>A股</t>
        </is>
      </c>
      <c r="C10" s="4" t="inlineStr">
        <is>
          <t>计算机</t>
        </is>
      </c>
      <c r="D10" s="4" t="inlineStr">
        <is>
          <t>科技</t>
        </is>
      </c>
      <c r="E10" s="4" t="inlineStr">
        <is>
          <t>高</t>
        </is>
      </c>
      <c r="F10" s="4" t="inlineStr">
        <is>
          <t>2025-12-05</t>
        </is>
      </c>
      <c r="G10" s="4" t="n">
        <v>2000</v>
      </c>
      <c r="H10" s="4" t="n">
        <v>82.40000000000001</v>
      </c>
      <c r="I10" s="4" t="inlineStr">
        <is>
          <t>人民币</t>
        </is>
      </c>
      <c r="J10" s="4" t="inlineStr">
        <is>
          <t>否</t>
        </is>
      </c>
    </row>
    <row r="11">
      <c r="A11" s="4" t="inlineStr">
        <is>
          <t>P06</t>
        </is>
      </c>
      <c r="B11" s="4" t="inlineStr">
        <is>
          <t>境内ETF</t>
        </is>
      </c>
      <c r="C11" s="4" t="inlineStr">
        <is>
          <t>红利</t>
        </is>
      </c>
      <c r="D11" s="4" t="inlineStr">
        <is>
          <t>红利</t>
        </is>
      </c>
      <c r="E11" s="4" t="inlineStr">
        <is>
          <t>低</t>
        </is>
      </c>
      <c r="F11" s="4" t="inlineStr">
        <is>
          <t>2026-02-06</t>
        </is>
      </c>
      <c r="G11" s="4" t="n">
        <v>10000</v>
      </c>
      <c r="H11" s="4" t="n">
        <v>3.1</v>
      </c>
      <c r="I11" s="4" t="inlineStr">
        <is>
          <t>人民币</t>
        </is>
      </c>
      <c r="J11" s="4" t="inlineStr">
        <is>
          <t>否</t>
        </is>
      </c>
    </row>
    <row r="12">
      <c r="A12" s="4" t="inlineStr">
        <is>
          <t>P07</t>
        </is>
      </c>
      <c r="B12" s="4" t="inlineStr">
        <is>
          <t>港股ETF</t>
        </is>
      </c>
      <c r="C12" s="4" t="inlineStr">
        <is>
          <t>海外科技</t>
        </is>
      </c>
      <c r="D12" s="4" t="inlineStr">
        <is>
          <t>科技</t>
        </is>
      </c>
      <c r="E12" s="4" t="inlineStr">
        <is>
          <t>中高</t>
        </is>
      </c>
      <c r="F12" s="4" t="inlineStr">
        <is>
          <t>2026-06-16</t>
        </is>
      </c>
      <c r="G12" s="4" t="n">
        <v>10000</v>
      </c>
      <c r="H12" s="4" t="n">
        <v>16.4</v>
      </c>
      <c r="I12" s="4" t="inlineStr">
        <is>
          <t>港币</t>
        </is>
      </c>
      <c r="J12" s="4" t="inlineStr">
        <is>
          <t>否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18" customWidth="1" min="5" max="5"/>
    <col width="10" customWidth="1" min="6" max="6"/>
    <col width="12" customWidth="1" min="7" max="7"/>
    <col width="14" customWidth="1" min="8" max="8"/>
    <col width="10" customWidth="1" min="9" max="9"/>
    <col width="12" customWidth="1" min="10" max="10"/>
    <col width="18" customWidth="1" min="11" max="11"/>
    <col width="45" customWidth="1" min="12" max="12"/>
  </cols>
  <sheetData>
    <row r="1">
      <c r="A1" s="1" t="inlineStr">
        <is>
          <t>原始行情与可交易状态（保留自附件，未做修改）</t>
        </is>
      </c>
    </row>
    <row r="3">
      <c r="A3" s="3" t="inlineStr">
        <is>
          <t>证券ID</t>
        </is>
      </c>
      <c r="B3" s="3" t="inlineStr">
        <is>
          <t>市场</t>
        </is>
      </c>
      <c r="C3" s="3" t="inlineStr">
        <is>
          <t>最新价格</t>
        </is>
      </c>
      <c r="D3" s="3" t="inlineStr">
        <is>
          <t>币种</t>
        </is>
      </c>
      <c r="E3" s="3" t="inlineStr">
        <is>
          <t>价格时间</t>
        </is>
      </c>
      <c r="F3" s="3" t="inlineStr">
        <is>
          <t>交易状态</t>
        </is>
      </c>
      <c r="G3" s="3" t="inlineStr">
        <is>
          <t>涨跌停状态</t>
        </is>
      </c>
      <c r="H3" s="3" t="inlineStr">
        <is>
          <t>当日买入数量</t>
        </is>
      </c>
      <c r="I3" s="3" t="inlineStr">
        <is>
          <t>可卖数量</t>
        </is>
      </c>
      <c r="J3" s="3" t="inlineStr">
        <is>
          <t>最小交易单位</t>
        </is>
      </c>
      <c r="K3" s="3" t="inlineStr">
        <is>
          <t>20日平均成交额(万元)</t>
        </is>
      </c>
      <c r="L3" s="3" t="inlineStr">
        <is>
          <t>说明</t>
        </is>
      </c>
    </row>
    <row r="4">
      <c r="A4" s="4" t="inlineStr">
        <is>
          <t>P01</t>
        </is>
      </c>
      <c r="B4" s="4" t="inlineStr">
        <is>
          <t>沪深</t>
        </is>
      </c>
      <c r="C4" s="4" t="n">
        <v>32.8</v>
      </c>
      <c r="D4" s="4" t="inlineStr">
        <is>
          <t>人民币</t>
        </is>
      </c>
      <c r="E4" s="4" t="inlineStr">
        <is>
          <t>2026-08-14 15:00</t>
        </is>
      </c>
      <c r="F4" s="4" t="inlineStr">
        <is>
          <t>正常</t>
        </is>
      </c>
      <c r="G4" s="4" t="inlineStr">
        <is>
          <t>无</t>
        </is>
      </c>
      <c r="H4" s="4" t="n">
        <v>1000</v>
      </c>
      <c r="I4" s="4" t="n">
        <v>4000</v>
      </c>
      <c r="J4" s="4" t="n">
        <v>100</v>
      </c>
      <c r="K4" s="4" t="n">
        <v>8600</v>
      </c>
      <c r="L4" s="4" t="inlineStr">
        <is>
          <t>当日买入部分按T+1管理</t>
        </is>
      </c>
    </row>
    <row r="5">
      <c r="A5" s="4" t="inlineStr">
        <is>
          <t>P02</t>
        </is>
      </c>
      <c r="B5" s="4" t="inlineStr">
        <is>
          <t>沪深</t>
        </is>
      </c>
      <c r="C5" s="4" t="n">
        <v>58.4</v>
      </c>
      <c r="D5" s="4" t="inlineStr">
        <is>
          <t>人民币</t>
        </is>
      </c>
      <c r="E5" s="4" t="inlineStr">
        <is>
          <t>2026-08-14 15:00</t>
        </is>
      </c>
      <c r="F5" s="4" t="inlineStr">
        <is>
          <t>正常</t>
        </is>
      </c>
      <c r="G5" s="4" t="inlineStr">
        <is>
          <t>跌停</t>
        </is>
      </c>
      <c r="H5" s="4" t="n">
        <v>0</v>
      </c>
      <c r="I5" s="4" t="n">
        <v>3000</v>
      </c>
      <c r="J5" s="4" t="n">
        <v>100</v>
      </c>
      <c r="K5" s="4" t="n">
        <v>2100</v>
      </c>
      <c r="L5" s="4" t="inlineStr">
        <is>
          <t>收盘封单，次日成交不确定</t>
        </is>
      </c>
    </row>
    <row r="6">
      <c r="A6" s="4" t="inlineStr">
        <is>
          <t>P03</t>
        </is>
      </c>
      <c r="B6" s="4" t="inlineStr">
        <is>
          <t>沪深</t>
        </is>
      </c>
      <c r="C6" s="4" t="n">
        <v>9.619999999999999</v>
      </c>
      <c r="D6" s="4" t="inlineStr">
        <is>
          <t>人民币</t>
        </is>
      </c>
      <c r="E6" s="4" t="inlineStr">
        <is>
          <t>2026-08-14 15:00</t>
        </is>
      </c>
      <c r="F6" s="4" t="inlineStr">
        <is>
          <t>正常</t>
        </is>
      </c>
      <c r="G6" s="4" t="inlineStr">
        <is>
          <t>无</t>
        </is>
      </c>
      <c r="H6" s="4" t="n">
        <v>0</v>
      </c>
      <c r="I6" s="4" t="n">
        <v>8000</v>
      </c>
      <c r="J6" s="4" t="n">
        <v>100</v>
      </c>
      <c r="K6" s="4" t="n">
        <v>4700</v>
      </c>
      <c r="L6" s="4" t="inlineStr"/>
    </row>
    <row r="7">
      <c r="A7" s="4" t="inlineStr">
        <is>
          <t>P04</t>
        </is>
      </c>
      <c r="B7" s="4" t="inlineStr">
        <is>
          <t>沪深</t>
        </is>
      </c>
      <c r="C7" s="4" t="n">
        <v>12.35</v>
      </c>
      <c r="D7" s="4" t="inlineStr">
        <is>
          <t>人民币</t>
        </is>
      </c>
      <c r="E7" s="4" t="inlineStr">
        <is>
          <t>2026-08-13 15:00</t>
        </is>
      </c>
      <c r="F7" s="4" t="inlineStr">
        <is>
          <t>停牌</t>
        </is>
      </c>
      <c r="G7" s="4" t="inlineStr">
        <is>
          <t>不适用</t>
        </is>
      </c>
      <c r="H7" s="4" t="n">
        <v>0</v>
      </c>
      <c r="I7" s="4" t="n">
        <v>0</v>
      </c>
      <c r="J7" s="4" t="n">
        <v>100</v>
      </c>
      <c r="K7" s="4" t="n">
        <v>900</v>
      </c>
      <c r="L7" s="4" t="inlineStr">
        <is>
          <t>8月14日全天停牌，复牌日未确定</t>
        </is>
      </c>
    </row>
    <row r="8">
      <c r="A8" s="4" t="inlineStr">
        <is>
          <t>P05</t>
        </is>
      </c>
      <c r="B8" s="4" t="inlineStr">
        <is>
          <t>沪深</t>
        </is>
      </c>
      <c r="C8" s="4" t="n">
        <v>105</v>
      </c>
      <c r="D8" s="4" t="inlineStr">
        <is>
          <t>人民币</t>
        </is>
      </c>
      <c r="E8" s="4" t="inlineStr">
        <is>
          <t>2026-08-14 15:00</t>
        </is>
      </c>
      <c r="F8" s="4" t="inlineStr">
        <is>
          <t>正常</t>
        </is>
      </c>
      <c r="G8" s="4" t="inlineStr">
        <is>
          <t>无</t>
        </is>
      </c>
      <c r="H8" s="4" t="n">
        <v>0</v>
      </c>
      <c r="I8" s="4" t="n">
        <v>2000</v>
      </c>
      <c r="J8" s="4" t="n">
        <v>100</v>
      </c>
      <c r="K8" s="4" t="n">
        <v>12800</v>
      </c>
      <c r="L8" s="4" t="inlineStr"/>
    </row>
    <row r="9">
      <c r="A9" s="4" t="inlineStr">
        <is>
          <t>P06</t>
        </is>
      </c>
      <c r="B9" s="4" t="inlineStr">
        <is>
          <t>沪深</t>
        </is>
      </c>
      <c r="C9" s="4" t="n">
        <v>2.88</v>
      </c>
      <c r="D9" s="4" t="inlineStr">
        <is>
          <t>人民币</t>
        </is>
      </c>
      <c r="E9" s="4" t="inlineStr">
        <is>
          <t>2026-08-14 15:00</t>
        </is>
      </c>
      <c r="F9" s="4" t="inlineStr">
        <is>
          <t>正常</t>
        </is>
      </c>
      <c r="G9" s="4" t="inlineStr">
        <is>
          <t>无</t>
        </is>
      </c>
      <c r="H9" s="4" t="n">
        <v>0</v>
      </c>
      <c r="I9" s="4" t="n">
        <v>10000</v>
      </c>
      <c r="J9" s="4" t="n">
        <v>100</v>
      </c>
      <c r="K9" s="4" t="n">
        <v>56000</v>
      </c>
      <c r="L9" s="4" t="inlineStr">
        <is>
          <t>8月12日每份现金分配0.80元；8月11日未调整收盘价3.68元，调整后参考价2.88元</t>
        </is>
      </c>
    </row>
    <row r="10">
      <c r="A10" s="4" t="inlineStr">
        <is>
          <t>P07</t>
        </is>
      </c>
      <c r="B10" s="4" t="inlineStr">
        <is>
          <t>香港</t>
        </is>
      </c>
      <c r="C10" s="4" t="n">
        <v>15.3</v>
      </c>
      <c r="D10" s="4" t="inlineStr">
        <is>
          <t>港币</t>
        </is>
      </c>
      <c r="E10" s="4" t="inlineStr">
        <is>
          <t>2026-08-14 16:00</t>
        </is>
      </c>
      <c r="F10" s="4" t="inlineStr">
        <is>
          <t>正常</t>
        </is>
      </c>
      <c r="G10" s="4" t="inlineStr">
        <is>
          <t>无</t>
        </is>
      </c>
      <c r="H10" s="4" t="n">
        <v>0</v>
      </c>
      <c r="I10" s="4" t="n">
        <v>10000</v>
      </c>
      <c r="J10" s="4" t="n">
        <v>500</v>
      </c>
      <c r="K10" s="4" t="n">
        <v>12500</v>
      </c>
      <c r="L10" s="4" t="inlineStr">
        <is>
          <t>港币兑人民币估值汇率0.92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原始风险暴露（保留自附件，未做修改）</t>
        </is>
      </c>
    </row>
    <row r="3">
      <c r="A3" s="3" t="inlineStr">
        <is>
          <t>证券ID</t>
        </is>
      </c>
      <c r="B3" s="3" t="inlineStr">
        <is>
          <t>风险分类</t>
        </is>
      </c>
      <c r="C3" s="3" t="inlineStr">
        <is>
          <t>组合分组</t>
        </is>
      </c>
      <c r="D3" s="3" t="inlineStr">
        <is>
          <t>近60日波动率</t>
        </is>
      </c>
      <c r="E3" s="3" t="inlineStr">
        <is>
          <t>内部风险等级</t>
        </is>
      </c>
      <c r="F3" s="3" t="inlineStr">
        <is>
          <t>与P05相关系数</t>
        </is>
      </c>
      <c r="G3" s="3" t="inlineStr">
        <is>
          <t>是否外币暴露</t>
        </is>
      </c>
    </row>
    <row r="4">
      <c r="A4" s="4" t="inlineStr">
        <is>
          <t>P01</t>
        </is>
      </c>
      <c r="B4" s="4" t="inlineStr">
        <is>
          <t>成长</t>
        </is>
      </c>
      <c r="C4" s="4" t="inlineStr">
        <is>
          <t>科技</t>
        </is>
      </c>
      <c r="D4" s="4" t="n">
        <v>0.38</v>
      </c>
      <c r="E4" s="4" t="inlineStr">
        <is>
          <t>高</t>
        </is>
      </c>
      <c r="F4" s="4" t="n">
        <v>0.72</v>
      </c>
      <c r="G4" s="4" t="inlineStr">
        <is>
          <t>否</t>
        </is>
      </c>
    </row>
    <row r="5">
      <c r="A5" s="4" t="inlineStr">
        <is>
          <t>P02</t>
        </is>
      </c>
      <c r="B5" s="4" t="inlineStr">
        <is>
          <t>成长</t>
        </is>
      </c>
      <c r="C5" s="4" t="inlineStr">
        <is>
          <t>科技</t>
        </is>
      </c>
      <c r="D5" s="4" t="n">
        <v>0.44</v>
      </c>
      <c r="E5" s="4" t="inlineStr">
        <is>
          <t>高</t>
        </is>
      </c>
      <c r="F5" s="4" t="n">
        <v>0.8100000000000001</v>
      </c>
      <c r="G5" s="4" t="inlineStr">
        <is>
          <t>否</t>
        </is>
      </c>
    </row>
    <row r="6">
      <c r="A6" s="4" t="inlineStr">
        <is>
          <t>P03</t>
        </is>
      </c>
      <c r="B6" s="4" t="inlineStr">
        <is>
          <t>防御</t>
        </is>
      </c>
      <c r="C6" s="4" t="inlineStr">
        <is>
          <t>医药</t>
        </is>
      </c>
      <c r="D6" s="4" t="n">
        <v>0.25</v>
      </c>
      <c r="E6" s="4" t="inlineStr">
        <is>
          <t>中</t>
        </is>
      </c>
      <c r="F6" s="4" t="n">
        <v>0.18</v>
      </c>
      <c r="G6" s="4" t="inlineStr">
        <is>
          <t>否</t>
        </is>
      </c>
    </row>
    <row r="7">
      <c r="A7" s="4" t="inlineStr">
        <is>
          <t>P04</t>
        </is>
      </c>
      <c r="B7" s="4" t="inlineStr">
        <is>
          <t>周期</t>
        </is>
      </c>
      <c r="C7" s="4" t="inlineStr">
        <is>
          <t>工业</t>
        </is>
      </c>
      <c r="D7" s="4" t="n">
        <v>0.29</v>
      </c>
      <c r="E7" s="4" t="inlineStr">
        <is>
          <t>中</t>
        </is>
      </c>
      <c r="F7" s="4" t="n">
        <v>0.22</v>
      </c>
      <c r="G7" s="4" t="inlineStr">
        <is>
          <t>否</t>
        </is>
      </c>
    </row>
    <row r="8">
      <c r="A8" s="4" t="inlineStr">
        <is>
          <t>P05</t>
        </is>
      </c>
      <c r="B8" s="4" t="inlineStr">
        <is>
          <t>成长</t>
        </is>
      </c>
      <c r="C8" s="4" t="inlineStr">
        <is>
          <t>科技</t>
        </is>
      </c>
      <c r="D8" s="4" t="n">
        <v>0.46</v>
      </c>
      <c r="E8" s="4" t="inlineStr">
        <is>
          <t>高</t>
        </is>
      </c>
      <c r="F8" s="4" t="n">
        <v>1</v>
      </c>
      <c r="G8" s="4" t="inlineStr">
        <is>
          <t>否</t>
        </is>
      </c>
    </row>
    <row r="9">
      <c r="A9" s="4" t="inlineStr">
        <is>
          <t>P06</t>
        </is>
      </c>
      <c r="B9" s="4" t="inlineStr">
        <is>
          <t>防御</t>
        </is>
      </c>
      <c r="C9" s="4" t="inlineStr">
        <is>
          <t>红利</t>
        </is>
      </c>
      <c r="D9" s="4" t="n">
        <v>0.17</v>
      </c>
      <c r="E9" s="4" t="inlineStr">
        <is>
          <t>低</t>
        </is>
      </c>
      <c r="F9" s="4" t="n">
        <v>-0.05</v>
      </c>
      <c r="G9" s="4" t="inlineStr">
        <is>
          <t>否</t>
        </is>
      </c>
    </row>
    <row r="10">
      <c r="A10" s="4" t="inlineStr">
        <is>
          <t>P07</t>
        </is>
      </c>
      <c r="B10" s="4" t="inlineStr">
        <is>
          <t>成长</t>
        </is>
      </c>
      <c r="C10" s="4" t="inlineStr">
        <is>
          <t>科技</t>
        </is>
      </c>
      <c r="D10" s="4" t="n">
        <v>0.31</v>
      </c>
      <c r="E10" s="4" t="inlineStr">
        <is>
          <t>中高</t>
        </is>
      </c>
      <c r="F10" s="4" t="n">
        <v>0.64</v>
      </c>
      <c r="G10" s="4" t="inlineStr">
        <is>
          <t>是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0" customWidth="1" min="5" max="5"/>
    <col width="16" customWidth="1" min="6" max="6"/>
    <col width="10" customWidth="1" min="7" max="7"/>
    <col width="8" customWidth="1" min="8" max="8"/>
    <col width="16" customWidth="1" min="9" max="9"/>
    <col width="14" customWidth="1" min="10" max="10"/>
    <col width="10" customWidth="1" min="11" max="11"/>
    <col width="10" customWidth="1" min="12" max="12"/>
    <col width="35" customWidth="1" min="13" max="13"/>
  </cols>
  <sheetData>
    <row r="1">
      <c r="A1" s="1" t="inlineStr">
        <is>
          <t>各批次成本、浮动盈亏与持仓权重复核</t>
        </is>
      </c>
    </row>
    <row r="3">
      <c r="A3" s="3" t="inlineStr">
        <is>
          <t>证券ID</t>
        </is>
      </c>
      <c r="B3" s="3" t="inlineStr">
        <is>
          <t>批次日期</t>
        </is>
      </c>
      <c r="C3" s="3" t="inlineStr">
        <is>
          <t>数量</t>
        </is>
      </c>
      <c r="D3" s="3" t="inlineStr">
        <is>
          <t>单位成本</t>
        </is>
      </c>
      <c r="E3" s="3" t="inlineStr">
        <is>
          <t>成本币种</t>
        </is>
      </c>
      <c r="F3" s="3" t="inlineStr">
        <is>
          <t>批次成本(人民币)</t>
        </is>
      </c>
      <c r="G3" s="3" t="inlineStr">
        <is>
          <t>当前价格</t>
        </is>
      </c>
      <c r="H3" s="3" t="inlineStr">
        <is>
          <t>币种</t>
        </is>
      </c>
      <c r="I3" s="3" t="inlineStr">
        <is>
          <t>批次市值(人民币)</t>
        </is>
      </c>
      <c r="J3" s="3" t="inlineStr">
        <is>
          <t>批次浮动盈亏</t>
        </is>
      </c>
      <c r="K3" s="3" t="inlineStr">
        <is>
          <t>盈亏率</t>
        </is>
      </c>
      <c r="L3" s="3" t="inlineStr">
        <is>
          <t>备注</t>
        </is>
      </c>
    </row>
    <row r="4">
      <c r="A4" s="4" t="inlineStr">
        <is>
          <t>P01</t>
        </is>
      </c>
      <c r="B4" s="4" t="inlineStr">
        <is>
          <t>2026-05-10</t>
        </is>
      </c>
      <c r="C4" s="4" t="n">
        <v>2500</v>
      </c>
      <c r="D4" s="4" t="n">
        <v>43.2</v>
      </c>
      <c r="E4" s="4" t="inlineStr">
        <is>
          <t>人民币</t>
        </is>
      </c>
      <c r="F4" s="6" t="n">
        <v>108000</v>
      </c>
      <c r="G4" s="4" t="n">
        <v>32.8</v>
      </c>
      <c r="H4" s="4" t="inlineStr">
        <is>
          <t>人民币</t>
        </is>
      </c>
      <c r="I4" s="6" t="n">
        <v>82000</v>
      </c>
      <c r="J4" s="6" t="n">
        <v>-26000</v>
      </c>
      <c r="K4" s="7" t="n">
        <v>-0.2407407407407407</v>
      </c>
      <c r="L4" s="4" t="inlineStr"/>
    </row>
    <row r="5">
      <c r="A5" s="4" t="inlineStr">
        <is>
          <t>P01</t>
        </is>
      </c>
      <c r="B5" s="4" t="inlineStr">
        <is>
          <t>2026-07-02</t>
        </is>
      </c>
      <c r="C5" s="4" t="n">
        <v>1500</v>
      </c>
      <c r="D5" s="4" t="n">
        <v>37.5</v>
      </c>
      <c r="E5" s="4" t="inlineStr">
        <is>
          <t>人民币</t>
        </is>
      </c>
      <c r="F5" s="6" t="n">
        <v>56250</v>
      </c>
      <c r="G5" s="4" t="n">
        <v>32.8</v>
      </c>
      <c r="H5" s="4" t="inlineStr">
        <is>
          <t>人民币</t>
        </is>
      </c>
      <c r="I5" s="6" t="n">
        <v>49200</v>
      </c>
      <c r="J5" s="6" t="n">
        <v>-7050</v>
      </c>
      <c r="K5" s="7" t="n">
        <v>-0.1253333333333335</v>
      </c>
      <c r="L5" s="4" t="inlineStr"/>
    </row>
    <row r="6">
      <c r="A6" s="4" t="inlineStr">
        <is>
          <t>P01</t>
        </is>
      </c>
      <c r="B6" s="4" t="inlineStr">
        <is>
          <t>2026-08-14</t>
        </is>
      </c>
      <c r="C6" s="4" t="n">
        <v>1000</v>
      </c>
      <c r="D6" s="4" t="n">
        <v>31.9</v>
      </c>
      <c r="E6" s="4" t="inlineStr">
        <is>
          <t>人民币</t>
        </is>
      </c>
      <c r="F6" s="6" t="n">
        <v>31900</v>
      </c>
      <c r="G6" s="4" t="n">
        <v>32.8</v>
      </c>
      <c r="H6" s="4" t="inlineStr">
        <is>
          <t>人民币</t>
        </is>
      </c>
      <c r="I6" s="6" t="n">
        <v>32800</v>
      </c>
      <c r="J6" s="6" t="n">
        <v>900</v>
      </c>
      <c r="K6" s="7" t="n">
        <v>0.02821316614420063</v>
      </c>
      <c r="L6" s="4" t="inlineStr">
        <is>
          <t>当日买入，T+1方可卖（8/17起可卖）</t>
        </is>
      </c>
    </row>
    <row r="7">
      <c r="A7" s="4" t="inlineStr">
        <is>
          <t>P02</t>
        </is>
      </c>
      <c r="B7" s="4" t="inlineStr">
        <is>
          <t>2026-03-18</t>
        </is>
      </c>
      <c r="C7" s="4" t="n">
        <v>3000</v>
      </c>
      <c r="D7" s="4" t="n">
        <v>54.2</v>
      </c>
      <c r="E7" s="4" t="inlineStr">
        <is>
          <t>人民币</t>
        </is>
      </c>
      <c r="F7" s="6" t="n">
        <v>162600</v>
      </c>
      <c r="G7" s="4" t="n">
        <v>58.4</v>
      </c>
      <c r="H7" s="4" t="inlineStr">
        <is>
          <t>人民币</t>
        </is>
      </c>
      <c r="I7" s="6" t="n">
        <v>175200</v>
      </c>
      <c r="J7" s="6" t="n">
        <v>12600</v>
      </c>
      <c r="K7" s="7" t="n">
        <v>0.07749077490774908</v>
      </c>
      <c r="L7" s="4" t="inlineStr"/>
    </row>
    <row r="8">
      <c r="A8" s="4" t="inlineStr">
        <is>
          <t>P03</t>
        </is>
      </c>
      <c r="B8" s="4" t="inlineStr">
        <is>
          <t>2026-04-11</t>
        </is>
      </c>
      <c r="C8" s="4" t="n">
        <v>8000</v>
      </c>
      <c r="D8" s="4" t="n">
        <v>10.3</v>
      </c>
      <c r="E8" s="4" t="inlineStr">
        <is>
          <t>人民币</t>
        </is>
      </c>
      <c r="F8" s="6" t="n">
        <v>82400</v>
      </c>
      <c r="G8" s="4" t="n">
        <v>9.619999999999999</v>
      </c>
      <c r="H8" s="4" t="inlineStr">
        <is>
          <t>人民币</t>
        </is>
      </c>
      <c r="I8" s="6" t="n">
        <v>76960</v>
      </c>
      <c r="J8" s="6" t="n">
        <v>-5440</v>
      </c>
      <c r="K8" s="7" t="n">
        <v>-0.06601941747572816</v>
      </c>
      <c r="L8" s="4" t="inlineStr"/>
    </row>
    <row r="9">
      <c r="A9" s="4" t="inlineStr">
        <is>
          <t>P04</t>
        </is>
      </c>
      <c r="B9" s="4" t="inlineStr">
        <is>
          <t>2026-01-20</t>
        </is>
      </c>
      <c r="C9" s="4" t="n">
        <v>6000</v>
      </c>
      <c r="D9" s="4" t="n">
        <v>11.9</v>
      </c>
      <c r="E9" s="4" t="inlineStr">
        <is>
          <t>人民币</t>
        </is>
      </c>
      <c r="F9" s="6" t="n">
        <v>71400</v>
      </c>
      <c r="G9" s="4" t="n">
        <v>12.35</v>
      </c>
      <c r="H9" s="4" t="inlineStr">
        <is>
          <t>人民币</t>
        </is>
      </c>
      <c r="I9" s="6" t="n">
        <v>74100</v>
      </c>
      <c r="J9" s="6" t="n">
        <v>2700</v>
      </c>
      <c r="K9" s="7" t="n">
        <v>0.03781512605042017</v>
      </c>
      <c r="L9" s="4" t="inlineStr">
        <is>
          <t>8/14起停牌，价格为8/13收盘价</t>
        </is>
      </c>
    </row>
    <row r="10">
      <c r="A10" s="4" t="inlineStr">
        <is>
          <t>P05</t>
        </is>
      </c>
      <c r="B10" s="4" t="inlineStr">
        <is>
          <t>2025-12-05</t>
        </is>
      </c>
      <c r="C10" s="4" t="n">
        <v>2000</v>
      </c>
      <c r="D10" s="4" t="n">
        <v>82.40000000000001</v>
      </c>
      <c r="E10" s="4" t="inlineStr">
        <is>
          <t>人民币</t>
        </is>
      </c>
      <c r="F10" s="6" t="n">
        <v>164800</v>
      </c>
      <c r="G10" s="4" t="n">
        <v>105</v>
      </c>
      <c r="H10" s="4" t="inlineStr">
        <is>
          <t>人民币</t>
        </is>
      </c>
      <c r="I10" s="6" t="n">
        <v>210000</v>
      </c>
      <c r="J10" s="6" t="n">
        <v>45200</v>
      </c>
      <c r="K10" s="7" t="n">
        <v>0.2742718446601942</v>
      </c>
      <c r="L10" s="4" t="inlineStr"/>
    </row>
    <row r="11">
      <c r="A11" s="4" t="inlineStr">
        <is>
          <t>P06</t>
        </is>
      </c>
      <c r="B11" s="4" t="inlineStr">
        <is>
          <t>2026-02-06</t>
        </is>
      </c>
      <c r="C11" s="4" t="n">
        <v>10000</v>
      </c>
      <c r="D11" s="4" t="n">
        <v>3.1</v>
      </c>
      <c r="E11" s="4" t="inlineStr">
        <is>
          <t>人民币</t>
        </is>
      </c>
      <c r="F11" s="6" t="n">
        <v>31000</v>
      </c>
      <c r="G11" s="4" t="n">
        <v>2.88</v>
      </c>
      <c r="H11" s="4" t="inlineStr">
        <is>
          <t>人民币</t>
        </is>
      </c>
      <c r="I11" s="6" t="n">
        <v>28800</v>
      </c>
      <c r="J11" s="6" t="n">
        <v>-2200</v>
      </c>
      <c r="K11" s="7" t="n">
        <v>-0.07096774193548387</v>
      </c>
      <c r="L11" s="4" t="inlineStr">
        <is>
          <t>8/12每份分红0.80元，除权后参考价2.88；分红不视为投资损失</t>
        </is>
      </c>
    </row>
    <row r="12">
      <c r="A12" s="4" t="inlineStr">
        <is>
          <t>P07</t>
        </is>
      </c>
      <c r="B12" s="4" t="inlineStr">
        <is>
          <t>2026-06-16</t>
        </is>
      </c>
      <c r="C12" s="4" t="n">
        <v>10000</v>
      </c>
      <c r="D12" s="4" t="n">
        <v>16.4</v>
      </c>
      <c r="E12" s="4" t="inlineStr">
        <is>
          <t>港币</t>
        </is>
      </c>
      <c r="F12" s="6" t="n">
        <v>150880</v>
      </c>
      <c r="G12" s="4" t="n">
        <v>15.3</v>
      </c>
      <c r="H12" s="4" t="inlineStr">
        <is>
          <t>港币</t>
        </is>
      </c>
      <c r="I12" s="6" t="n">
        <v>140760</v>
      </c>
      <c r="J12" s="6" t="n">
        <v>-10120</v>
      </c>
      <c r="K12" s="7" t="n">
        <v>-0.06707317073170732</v>
      </c>
      <c r="L12" s="4" t="inlineStr"/>
    </row>
    <row r="13"/>
    <row r="14">
      <c r="A14" s="2" t="inlineStr">
        <is>
          <t>按证券汇总</t>
        </is>
      </c>
    </row>
    <row r="15">
      <c r="A15" s="8" t="inlineStr">
        <is>
          <t>证券ID</t>
        </is>
      </c>
      <c r="B15" s="8" t="inlineStr">
        <is>
          <t>总数量</t>
        </is>
      </c>
      <c r="C15" s="8" t="inlineStr">
        <is>
          <t>总成本(人民币)</t>
        </is>
      </c>
      <c r="D15" s="8" t="inlineStr">
        <is>
          <t>平均成本</t>
        </is>
      </c>
      <c r="E15" s="8" t="inlineStr">
        <is>
          <t>当前价格</t>
        </is>
      </c>
      <c r="F15" s="8" t="inlineStr">
        <is>
          <t>总市值(人民币)</t>
        </is>
      </c>
      <c r="G15" s="8" t="inlineStr">
        <is>
          <t>浮动盈亏</t>
        </is>
      </c>
      <c r="H15" s="8" t="inlineStr">
        <is>
          <t>盈亏率</t>
        </is>
      </c>
      <c r="I15" s="8" t="inlineStr">
        <is>
          <t>持仓权重</t>
        </is>
      </c>
      <c r="J15" s="8" t="inlineStr">
        <is>
          <t>可卖数量</t>
        </is>
      </c>
      <c r="K15" s="8" t="inlineStr">
        <is>
          <t>可卖比例</t>
        </is>
      </c>
      <c r="L15" s="8" t="inlineStr">
        <is>
          <t>备注</t>
        </is>
      </c>
    </row>
    <row r="16">
      <c r="A16" s="4" t="inlineStr">
        <is>
          <t>P01</t>
        </is>
      </c>
      <c r="B16" s="4" t="n">
        <v>5000</v>
      </c>
      <c r="C16" s="4" t="n">
        <v>196150</v>
      </c>
      <c r="D16" s="4" t="n">
        <v>39.23</v>
      </c>
      <c r="E16" s="4" t="n">
        <v>32.8</v>
      </c>
      <c r="F16" s="6" t="n">
        <v>164000</v>
      </c>
      <c r="G16" s="4" t="n">
        <v>-32150</v>
      </c>
      <c r="H16" s="7" t="n">
        <v>-0.1639051746112669</v>
      </c>
      <c r="I16" s="7" t="n">
        <v>0.1588131621249976</v>
      </c>
      <c r="J16" s="6" t="n">
        <v>4000</v>
      </c>
      <c r="K16" s="7" t="n">
        <v>0.8</v>
      </c>
      <c r="L16" s="4" t="inlineStr">
        <is>
          <t>含1000股当日买入（8/17起全部可卖）</t>
        </is>
      </c>
    </row>
    <row r="17">
      <c r="A17" s="4" t="inlineStr">
        <is>
          <t>P02</t>
        </is>
      </c>
      <c r="B17" s="4" t="n">
        <v>3000</v>
      </c>
      <c r="C17" s="4" t="n">
        <v>162600</v>
      </c>
      <c r="D17" s="4" t="n">
        <v>54.2</v>
      </c>
      <c r="E17" s="4" t="n">
        <v>58.4</v>
      </c>
      <c r="F17" s="6" t="n">
        <v>175200</v>
      </c>
      <c r="G17" s="4" t="n">
        <v>12600</v>
      </c>
      <c r="H17" s="7" t="n">
        <v>0.07749077490774908</v>
      </c>
      <c r="I17" s="7" t="n">
        <v>0.1696589390506072</v>
      </c>
      <c r="J17" s="6" t="n">
        <v>3000</v>
      </c>
      <c r="K17" s="7" t="n">
        <v>1</v>
      </c>
      <c r="L17" s="4" t="inlineStr">
        <is>
          <t>8/14跌停封单，次日成交不确定</t>
        </is>
      </c>
    </row>
    <row r="18">
      <c r="A18" s="4" t="inlineStr">
        <is>
          <t>P03</t>
        </is>
      </c>
      <c r="B18" s="4" t="n">
        <v>8000</v>
      </c>
      <c r="C18" s="4" t="n">
        <v>82400</v>
      </c>
      <c r="D18" s="4" t="n">
        <v>10.3</v>
      </c>
      <c r="E18" s="4" t="n">
        <v>9.619999999999999</v>
      </c>
      <c r="F18" s="6" t="n">
        <v>76960</v>
      </c>
      <c r="G18" s="4" t="n">
        <v>-5440</v>
      </c>
      <c r="H18" s="7" t="n">
        <v>-0.06601941747572816</v>
      </c>
      <c r="I18" s="7" t="n">
        <v>0.07452598144597447</v>
      </c>
      <c r="J18" s="6" t="n">
        <v>8000</v>
      </c>
      <c r="K18" s="7" t="n">
        <v>1</v>
      </c>
      <c r="L18" s="4" t="inlineStr"/>
    </row>
    <row r="19">
      <c r="A19" s="4" t="inlineStr">
        <is>
          <t>P04</t>
        </is>
      </c>
      <c r="B19" s="4" t="n">
        <v>6000</v>
      </c>
      <c r="C19" s="4" t="n">
        <v>71400</v>
      </c>
      <c r="D19" s="4" t="n">
        <v>11.9</v>
      </c>
      <c r="E19" s="4" t="n">
        <v>12.35</v>
      </c>
      <c r="F19" s="6" t="n">
        <v>74100</v>
      </c>
      <c r="G19" s="4" t="n">
        <v>2700</v>
      </c>
      <c r="H19" s="7" t="n">
        <v>0.03781512605042017</v>
      </c>
      <c r="I19" s="7" t="n">
        <v>0.07175643483818488</v>
      </c>
      <c r="J19" s="6" t="n">
        <v>0</v>
      </c>
      <c r="K19" s="7" t="n">
        <v>0</v>
      </c>
      <c r="L19" s="4" t="inlineStr">
        <is>
          <t>停牌中，可卖数量为0</t>
        </is>
      </c>
    </row>
    <row r="20">
      <c r="A20" s="4" t="inlineStr">
        <is>
          <t>P05</t>
        </is>
      </c>
      <c r="B20" s="4" t="n">
        <v>2000</v>
      </c>
      <c r="C20" s="4" t="n">
        <v>164800</v>
      </c>
      <c r="D20" s="4" t="n">
        <v>82.40000000000001</v>
      </c>
      <c r="E20" s="4" t="n">
        <v>105</v>
      </c>
      <c r="F20" s="6" t="n">
        <v>210000</v>
      </c>
      <c r="G20" s="4" t="n">
        <v>45200</v>
      </c>
      <c r="H20" s="7" t="n">
        <v>0.2742718446601942</v>
      </c>
      <c r="I20" s="7" t="n">
        <v>0.2033583173551798</v>
      </c>
      <c r="J20" s="6" t="n">
        <v>2000</v>
      </c>
      <c r="K20" s="7" t="n">
        <v>1</v>
      </c>
      <c r="L20" s="4" t="inlineStr"/>
    </row>
    <row r="21">
      <c r="A21" s="4" t="inlineStr">
        <is>
          <t>P06</t>
        </is>
      </c>
      <c r="B21" s="4" t="n">
        <v>10000</v>
      </c>
      <c r="C21" s="4" t="n">
        <v>31000</v>
      </c>
      <c r="D21" s="4" t="n">
        <v>3.1</v>
      </c>
      <c r="E21" s="4" t="n">
        <v>2.88</v>
      </c>
      <c r="F21" s="6" t="n">
        <v>28800</v>
      </c>
      <c r="G21" s="4" t="n">
        <v>-2200</v>
      </c>
      <c r="H21" s="7" t="n">
        <v>-0.07096774193548387</v>
      </c>
      <c r="I21" s="7" t="n">
        <v>0.02788914066585323</v>
      </c>
      <c r="J21" s="6" t="n">
        <v>10000</v>
      </c>
      <c r="K21" s="7" t="n">
        <v>1</v>
      </c>
      <c r="L21" s="4" t="inlineStr">
        <is>
          <t>含已除权现金分红8,000元（若已到账则计入现金）</t>
        </is>
      </c>
    </row>
    <row r="22">
      <c r="A22" s="4" t="inlineStr">
        <is>
          <t>P07</t>
        </is>
      </c>
      <c r="B22" s="4" t="n">
        <v>10000</v>
      </c>
      <c r="C22" s="4" t="n">
        <v>150880</v>
      </c>
      <c r="D22" s="4" t="n">
        <v>16.4</v>
      </c>
      <c r="E22" s="4" t="n">
        <v>15.3</v>
      </c>
      <c r="F22" s="6" t="n">
        <v>140760</v>
      </c>
      <c r="G22" s="4" t="n">
        <v>-10120</v>
      </c>
      <c r="H22" s="7" t="n">
        <v>-0.06707317073170732</v>
      </c>
      <c r="I22" s="7" t="n">
        <v>0.1363081750043577</v>
      </c>
      <c r="J22" s="6" t="n">
        <v>10000</v>
      </c>
      <c r="K22" s="7" t="n">
        <v>1</v>
      </c>
      <c r="L22" s="4" t="inlineStr">
        <is>
          <t>港币计价，按0.92折算人民币</t>
        </is>
      </c>
    </row>
    <row r="23">
      <c r="A23" s="9" t="inlineStr">
        <is>
          <t>合计</t>
        </is>
      </c>
      <c r="B23" s="9" t="n">
        <v>44000</v>
      </c>
      <c r="C23" s="9" t="n">
        <v>859230</v>
      </c>
      <c r="D23" s="9" t="n"/>
      <c r="E23" s="9" t="n"/>
      <c r="F23" s="10" t="n">
        <v>869820</v>
      </c>
      <c r="G23" s="9" t="n">
        <v>10590</v>
      </c>
      <c r="H23" s="11" t="n">
        <v>0.01232498865263084</v>
      </c>
      <c r="I23" s="11" t="n">
        <v>0.8423101504851549</v>
      </c>
      <c r="J23" s="9" t="n"/>
      <c r="K23" s="9" t="n"/>
      <c r="L23" s="9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2" customWidth="1" min="5" max="5"/>
    <col width="35" customWidth="1" min="6" max="6"/>
  </cols>
  <sheetData>
    <row r="1">
      <c r="A1" s="1" t="inlineStr">
        <is>
          <t>持仓权重、行业/主题集中度、风险等级与外币暴露</t>
        </is>
      </c>
    </row>
    <row r="3">
      <c r="A3" s="2" t="inlineStr">
        <is>
          <t>一、个股权重（基准总资产=1,032,660元）</t>
        </is>
      </c>
    </row>
    <row r="4">
      <c r="A4" s="3" t="inlineStr">
        <is>
          <t>证券ID</t>
        </is>
      </c>
      <c r="B4" s="3" t="inlineStr">
        <is>
          <t>行业/主题</t>
        </is>
      </c>
      <c r="C4" s="3" t="inlineStr">
        <is>
          <t>市值(人民币)</t>
        </is>
      </c>
      <c r="D4" s="3" t="inlineStr">
        <is>
          <t>权重</t>
        </is>
      </c>
      <c r="E4" s="3" t="inlineStr">
        <is>
          <t>20%上限</t>
        </is>
      </c>
      <c r="F4" s="3" t="inlineStr">
        <is>
          <t>是否超限</t>
        </is>
      </c>
    </row>
    <row r="5">
      <c r="A5" s="12" t="inlineStr">
        <is>
          <t>P05</t>
        </is>
      </c>
      <c r="B5" s="12" t="inlineStr">
        <is>
          <t>计算机</t>
        </is>
      </c>
      <c r="C5" s="13" t="n">
        <v>210000</v>
      </c>
      <c r="D5" s="14" t="n">
        <v>0.2033583173551798</v>
      </c>
      <c r="E5" s="12" t="inlineStr">
        <is>
          <t>20%</t>
        </is>
      </c>
      <c r="F5" s="12" t="inlineStr">
        <is>
          <t>超限</t>
        </is>
      </c>
    </row>
    <row r="6">
      <c r="A6" s="4" t="inlineStr">
        <is>
          <t>P02</t>
        </is>
      </c>
      <c r="B6" s="4" t="inlineStr">
        <is>
          <t>计算机</t>
        </is>
      </c>
      <c r="C6" s="6" t="n">
        <v>175200</v>
      </c>
      <c r="D6" s="7" t="n">
        <v>0.1696589390506072</v>
      </c>
      <c r="E6" s="4" t="inlineStr">
        <is>
          <t>20%</t>
        </is>
      </c>
      <c r="F6" s="4" t="inlineStr">
        <is>
          <t>合规</t>
        </is>
      </c>
    </row>
    <row r="7">
      <c r="A7" s="4" t="inlineStr">
        <is>
          <t>P01</t>
        </is>
      </c>
      <c r="B7" s="4" t="inlineStr">
        <is>
          <t>电子</t>
        </is>
      </c>
      <c r="C7" s="6" t="n">
        <v>164000</v>
      </c>
      <c r="D7" s="7" t="n">
        <v>0.1588131621249976</v>
      </c>
      <c r="E7" s="4" t="inlineStr">
        <is>
          <t>20%</t>
        </is>
      </c>
      <c r="F7" s="4" t="inlineStr">
        <is>
          <t>合规</t>
        </is>
      </c>
    </row>
    <row r="8">
      <c r="A8" s="4" t="inlineStr">
        <is>
          <t>P07</t>
        </is>
      </c>
      <c r="B8" s="4" t="inlineStr">
        <is>
          <t>海外科技</t>
        </is>
      </c>
      <c r="C8" s="6" t="n">
        <v>140760</v>
      </c>
      <c r="D8" s="7" t="n">
        <v>0.1363081750043577</v>
      </c>
      <c r="E8" s="4" t="inlineStr">
        <is>
          <t>20%</t>
        </is>
      </c>
      <c r="F8" s="4" t="inlineStr">
        <is>
          <t>合规</t>
        </is>
      </c>
    </row>
    <row r="9">
      <c r="A9" s="4" t="inlineStr">
        <is>
          <t>P03</t>
        </is>
      </c>
      <c r="B9" s="4" t="inlineStr">
        <is>
          <t>医药</t>
        </is>
      </c>
      <c r="C9" s="6" t="n">
        <v>76960</v>
      </c>
      <c r="D9" s="7" t="n">
        <v>0.07452598144597447</v>
      </c>
      <c r="E9" s="4" t="inlineStr">
        <is>
          <t>20%</t>
        </is>
      </c>
      <c r="F9" s="4" t="inlineStr">
        <is>
          <t>合规</t>
        </is>
      </c>
    </row>
    <row r="10">
      <c r="A10" s="4" t="inlineStr">
        <is>
          <t>P04</t>
        </is>
      </c>
      <c r="B10" s="4" t="inlineStr">
        <is>
          <t>工业</t>
        </is>
      </c>
      <c r="C10" s="6" t="n">
        <v>74100</v>
      </c>
      <c r="D10" s="7" t="n">
        <v>0.07175643483818488</v>
      </c>
      <c r="E10" s="4" t="inlineStr">
        <is>
          <t>20%</t>
        </is>
      </c>
      <c r="F10" s="4" t="inlineStr">
        <is>
          <t>合规</t>
        </is>
      </c>
    </row>
    <row r="11">
      <c r="A11" s="4" t="inlineStr">
        <is>
          <t>P06</t>
        </is>
      </c>
      <c r="B11" s="4" t="inlineStr">
        <is>
          <t>红利</t>
        </is>
      </c>
      <c r="C11" s="6" t="n">
        <v>28800</v>
      </c>
      <c r="D11" s="7" t="n">
        <v>0.02788914066585323</v>
      </c>
      <c r="E11" s="4" t="inlineStr">
        <is>
          <t>20%</t>
        </is>
      </c>
      <c r="F11" s="4" t="inlineStr">
        <is>
          <t>合规</t>
        </is>
      </c>
    </row>
    <row r="12"/>
    <row r="13">
      <c r="A13" s="2" t="inlineStr">
        <is>
          <t>二、行业/主题集中度</t>
        </is>
      </c>
    </row>
    <row r="14">
      <c r="A14" s="3" t="inlineStr">
        <is>
          <t>行业/主题</t>
        </is>
      </c>
      <c r="B14" s="3" t="inlineStr">
        <is>
          <t>市值(人民币)</t>
        </is>
      </c>
      <c r="C14" s="3" t="inlineStr">
        <is>
          <t>权重</t>
        </is>
      </c>
      <c r="D14" s="3" t="inlineStr">
        <is>
          <t>包含证券</t>
        </is>
      </c>
    </row>
    <row r="15">
      <c r="A15" s="4" t="inlineStr">
        <is>
          <t>计算机</t>
        </is>
      </c>
      <c r="B15" s="4" t="n">
        <v>385200</v>
      </c>
      <c r="C15" s="7" t="n">
        <v>0.373017256405787</v>
      </c>
      <c r="D15" s="4" t="inlineStr">
        <is>
          <t>P02,P05</t>
        </is>
      </c>
    </row>
    <row r="16">
      <c r="A16" s="4" t="inlineStr">
        <is>
          <t>电子</t>
        </is>
      </c>
      <c r="B16" s="4" t="n">
        <v>164000</v>
      </c>
      <c r="C16" s="7" t="n">
        <v>0.1588131621249976</v>
      </c>
      <c r="D16" s="4" t="inlineStr">
        <is>
          <t>P01</t>
        </is>
      </c>
    </row>
    <row r="17">
      <c r="A17" s="4" t="inlineStr">
        <is>
          <t>海外科技</t>
        </is>
      </c>
      <c r="B17" s="4" t="n">
        <v>140760</v>
      </c>
      <c r="C17" s="7" t="n">
        <v>0.1363081750043577</v>
      </c>
      <c r="D17" s="4" t="inlineStr">
        <is>
          <t>P07</t>
        </is>
      </c>
    </row>
    <row r="18">
      <c r="A18" s="4" t="inlineStr">
        <is>
          <t>医药</t>
        </is>
      </c>
      <c r="B18" s="4" t="n">
        <v>76960</v>
      </c>
      <c r="C18" s="7" t="n">
        <v>0.07452598144597447</v>
      </c>
      <c r="D18" s="4" t="inlineStr">
        <is>
          <t>P03</t>
        </is>
      </c>
    </row>
    <row r="19">
      <c r="A19" s="4" t="inlineStr">
        <is>
          <t>工业</t>
        </is>
      </c>
      <c r="B19" s="4" t="n">
        <v>74100</v>
      </c>
      <c r="C19" s="7" t="n">
        <v>0.07175643483818488</v>
      </c>
      <c r="D19" s="4" t="inlineStr">
        <is>
          <t>P04</t>
        </is>
      </c>
    </row>
    <row r="20">
      <c r="A20" s="4" t="inlineStr">
        <is>
          <t>红利</t>
        </is>
      </c>
      <c r="B20" s="4" t="n">
        <v>28800</v>
      </c>
      <c r="C20" s="7" t="n">
        <v>0.02788914066585323</v>
      </c>
      <c r="D20" s="4" t="inlineStr">
        <is>
          <t>P06</t>
        </is>
      </c>
    </row>
    <row r="21"/>
    <row r="22">
      <c r="A22" s="2" t="inlineStr">
        <is>
          <t>三、组合分组集中度（科技主题上限40%）</t>
        </is>
      </c>
    </row>
    <row r="23">
      <c r="A23" s="3" t="inlineStr">
        <is>
          <t>组合分组</t>
        </is>
      </c>
      <c r="B23" s="3" t="inlineStr">
        <is>
          <t>市值(人民币)</t>
        </is>
      </c>
      <c r="C23" s="3" t="inlineStr">
        <is>
          <t>权重</t>
        </is>
      </c>
      <c r="D23" s="3" t="inlineStr">
        <is>
          <t>上限</t>
        </is>
      </c>
      <c r="E23" s="3" t="inlineStr">
        <is>
          <t>是否超限</t>
        </is>
      </c>
    </row>
    <row r="24">
      <c r="A24" s="12" t="inlineStr">
        <is>
          <t>科技</t>
        </is>
      </c>
      <c r="B24" s="12" t="n">
        <v>689960</v>
      </c>
      <c r="C24" s="14" t="n">
        <v>0.6681385935351423</v>
      </c>
      <c r="D24" s="12" t="inlineStr">
        <is>
          <t>40%</t>
        </is>
      </c>
      <c r="E24" s="12" t="inlineStr">
        <is>
          <t>超限</t>
        </is>
      </c>
    </row>
    <row r="25">
      <c r="A25" s="4" t="inlineStr">
        <is>
          <t>医药</t>
        </is>
      </c>
      <c r="B25" s="4" t="n">
        <v>76960</v>
      </c>
      <c r="C25" s="7" t="n">
        <v>0.07452598144597447</v>
      </c>
      <c r="D25" s="4" t="inlineStr">
        <is>
          <t>—</t>
        </is>
      </c>
      <c r="E25" s="4" t="inlineStr">
        <is>
          <t>无上限</t>
        </is>
      </c>
    </row>
    <row r="26">
      <c r="A26" s="4" t="inlineStr">
        <is>
          <t>工业</t>
        </is>
      </c>
      <c r="B26" s="4" t="n">
        <v>74100</v>
      </c>
      <c r="C26" s="7" t="n">
        <v>0.07175643483818488</v>
      </c>
      <c r="D26" s="4" t="inlineStr">
        <is>
          <t>—</t>
        </is>
      </c>
      <c r="E26" s="4" t="inlineStr">
        <is>
          <t>无上限</t>
        </is>
      </c>
    </row>
    <row r="27">
      <c r="A27" s="4" t="inlineStr">
        <is>
          <t>红利</t>
        </is>
      </c>
      <c r="B27" s="4" t="n">
        <v>28800</v>
      </c>
      <c r="C27" s="7" t="n">
        <v>0.02788914066585323</v>
      </c>
      <c r="D27" s="4" t="inlineStr">
        <is>
          <t>—</t>
        </is>
      </c>
      <c r="E27" s="4" t="inlineStr">
        <is>
          <t>无上限</t>
        </is>
      </c>
    </row>
    <row r="28"/>
    <row r="29">
      <c r="A29" s="2" t="inlineStr">
        <is>
          <t>四、内部风险等级集中度（高风险上限45%）</t>
        </is>
      </c>
    </row>
    <row r="30">
      <c r="A30" s="3" t="inlineStr">
        <is>
          <t>风险等级</t>
        </is>
      </c>
      <c r="B30" s="3" t="inlineStr">
        <is>
          <t>市值(人民币)</t>
        </is>
      </c>
      <c r="C30" s="3" t="inlineStr">
        <is>
          <t>权重</t>
        </is>
      </c>
      <c r="D30" s="3" t="inlineStr">
        <is>
          <t>上限</t>
        </is>
      </c>
      <c r="E30" s="3" t="inlineStr">
        <is>
          <t>是否超限</t>
        </is>
      </c>
    </row>
    <row r="31">
      <c r="A31" s="12" t="inlineStr">
        <is>
          <t>高</t>
        </is>
      </c>
      <c r="B31" s="12" t="n">
        <v>549200</v>
      </c>
      <c r="C31" s="14" t="n">
        <v>0.5318304185307846</v>
      </c>
      <c r="D31" s="12" t="inlineStr">
        <is>
          <t>45%</t>
        </is>
      </c>
      <c r="E31" s="12" t="inlineStr">
        <is>
          <t>超限</t>
        </is>
      </c>
    </row>
    <row r="32">
      <c r="A32" s="4" t="inlineStr">
        <is>
          <t>中高</t>
        </is>
      </c>
      <c r="B32" s="4" t="n">
        <v>140760</v>
      </c>
      <c r="C32" s="7" t="n">
        <v>0.1363081750043577</v>
      </c>
      <c r="D32" s="4" t="inlineStr">
        <is>
          <t>—</t>
        </is>
      </c>
      <c r="E32" s="4" t="inlineStr">
        <is>
          <t>无上限</t>
        </is>
      </c>
    </row>
    <row r="33">
      <c r="A33" s="4" t="inlineStr">
        <is>
          <t>中</t>
        </is>
      </c>
      <c r="B33" s="4" t="n">
        <v>151060</v>
      </c>
      <c r="C33" s="7" t="n">
        <v>0.1462824162841594</v>
      </c>
      <c r="D33" s="4" t="inlineStr">
        <is>
          <t>—</t>
        </is>
      </c>
      <c r="E33" s="4" t="inlineStr">
        <is>
          <t>无上限</t>
        </is>
      </c>
    </row>
    <row r="34">
      <c r="A34" s="4" t="inlineStr">
        <is>
          <t>低</t>
        </is>
      </c>
      <c r="B34" s="4" t="n">
        <v>28800</v>
      </c>
      <c r="C34" s="7" t="n">
        <v>0.02788914066585323</v>
      </c>
      <c r="D34" s="4" t="inlineStr">
        <is>
          <t>—</t>
        </is>
      </c>
      <c r="E34" s="4" t="inlineStr">
        <is>
          <t>无上限</t>
        </is>
      </c>
    </row>
    <row r="35"/>
    <row r="36">
      <c r="A36" s="2" t="inlineStr">
        <is>
          <t>五、外币暴露（上限15%）</t>
        </is>
      </c>
    </row>
    <row r="37">
      <c r="A37" s="3" t="inlineStr">
        <is>
          <t>外币资产项</t>
        </is>
      </c>
      <c r="B37" s="3" t="inlineStr">
        <is>
          <t>原币金额</t>
        </is>
      </c>
      <c r="C37" s="3" t="inlineStr">
        <is>
          <t>折算汇率</t>
        </is>
      </c>
      <c r="D37" s="3" t="inlineStr">
        <is>
          <t>人民币等值</t>
        </is>
      </c>
      <c r="E37" s="3" t="inlineStr">
        <is>
          <t>权重</t>
        </is>
      </c>
      <c r="F37" s="3" t="inlineStr">
        <is>
          <t>备注</t>
        </is>
      </c>
    </row>
    <row r="38">
      <c r="A38" s="4" t="inlineStr">
        <is>
          <t>P07 港股ETF</t>
        </is>
      </c>
      <c r="B38" s="4" t="inlineStr">
        <is>
          <t>153,000港币</t>
        </is>
      </c>
      <c r="C38" s="7" t="n">
        <v>0.92</v>
      </c>
      <c r="D38" s="6" t="n">
        <v>140760</v>
      </c>
      <c r="E38" s="7" t="n">
        <v>0.1363081750043577</v>
      </c>
      <c r="F38" s="4" t="inlineStr">
        <is>
          <t>10000份×15.3港币×0.92</t>
        </is>
      </c>
    </row>
    <row r="39">
      <c r="A39" s="4" t="inlineStr">
        <is>
          <t>美元现金</t>
        </is>
      </c>
      <c r="B39" s="4" t="inlineStr">
        <is>
          <t>3,000美元</t>
        </is>
      </c>
      <c r="C39" s="7" t="n">
        <v>7.18</v>
      </c>
      <c r="D39" s="6" t="n">
        <v>21540</v>
      </c>
      <c r="E39" s="7" t="n">
        <v>0.02085875312300273</v>
      </c>
      <c r="F39" s="4" t="inlineStr">
        <is>
          <t>资金系统记录</t>
        </is>
      </c>
    </row>
    <row r="40">
      <c r="A40" s="12" t="inlineStr">
        <is>
          <t>外币合计</t>
        </is>
      </c>
      <c r="B40" s="12" t="inlineStr">
        <is>
          <t>—</t>
        </is>
      </c>
      <c r="C40" s="12" t="inlineStr">
        <is>
          <t>—</t>
        </is>
      </c>
      <c r="D40" s="13" t="n">
        <v>162300</v>
      </c>
      <c r="E40" s="14" t="n">
        <v>0.1571669281273604</v>
      </c>
      <c r="F40" s="12" t="inlineStr">
        <is>
          <t>上限15%，当前超限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已批准组合约束逐项检查（调仓前 vs 资金转出后）</t>
        </is>
      </c>
    </row>
    <row r="3">
      <c r="A3" s="3" t="inlineStr">
        <is>
          <t>约束项</t>
        </is>
      </c>
      <c r="B3" s="3" t="inlineStr">
        <is>
          <t>检查对象</t>
        </is>
      </c>
      <c r="C3" s="3" t="inlineStr">
        <is>
          <t>当前市值/金额(元)</t>
        </is>
      </c>
      <c r="D3" s="3" t="inlineStr">
        <is>
          <t>当前比例</t>
        </is>
      </c>
      <c r="E3" s="3" t="inlineStr">
        <is>
          <t>上限/下限</t>
        </is>
      </c>
      <c r="F3" s="3" t="inlineStr">
        <is>
          <t>当前状态</t>
        </is>
      </c>
      <c r="G3" s="3" t="inlineStr">
        <is>
          <t>转出后比例</t>
        </is>
      </c>
      <c r="H3" s="3" t="inlineStr">
        <is>
          <t>转出后状态</t>
        </is>
      </c>
    </row>
    <row r="4">
      <c r="A4" s="4" t="inlineStr">
        <is>
          <t>单一证券≤20%</t>
        </is>
      </c>
      <c r="B4" s="4" t="inlineStr">
        <is>
          <t>P05</t>
        </is>
      </c>
      <c r="C4" s="6" t="n">
        <v>210000</v>
      </c>
      <c r="D4" s="7" t="n">
        <v>0.2033583173551798</v>
      </c>
      <c r="E4" s="4" t="inlineStr">
        <is>
          <t>20%</t>
        </is>
      </c>
      <c r="F4" s="12" t="inlineStr">
        <is>
          <t>超限</t>
        </is>
      </c>
      <c r="G4" s="7" t="n">
        <v>0.2137056560763642</v>
      </c>
      <c r="H4" s="12" t="inlineStr">
        <is>
          <t>超限</t>
        </is>
      </c>
    </row>
    <row r="5">
      <c r="A5" s="4" t="inlineStr">
        <is>
          <t>单一证券≤20%</t>
        </is>
      </c>
      <c r="B5" s="4" t="inlineStr">
        <is>
          <t>P02</t>
        </is>
      </c>
      <c r="C5" s="6" t="n">
        <v>175200</v>
      </c>
      <c r="D5" s="7" t="n">
        <v>0.1696589390506072</v>
      </c>
      <c r="E5" s="4" t="inlineStr">
        <is>
          <t>20%</t>
        </is>
      </c>
      <c r="F5" s="15" t="inlineStr">
        <is>
          <t>合规</t>
        </is>
      </c>
      <c r="G5" s="7" t="n">
        <v>0.1782915759265667</v>
      </c>
      <c r="H5" s="15" t="inlineStr">
        <is>
          <t>合规</t>
        </is>
      </c>
    </row>
    <row r="6">
      <c r="A6" s="4" t="inlineStr">
        <is>
          <t>单一证券≤20%</t>
        </is>
      </c>
      <c r="B6" s="4" t="inlineStr">
        <is>
          <t>P01</t>
        </is>
      </c>
      <c r="C6" s="6" t="n">
        <v>164000</v>
      </c>
      <c r="D6" s="7" t="n">
        <v>0.1588131621249976</v>
      </c>
      <c r="E6" s="4" t="inlineStr">
        <is>
          <t>20%</t>
        </is>
      </c>
      <c r="F6" s="15" t="inlineStr">
        <is>
          <t>合规</t>
        </is>
      </c>
      <c r="G6" s="7" t="n">
        <v>0.1668939409358272</v>
      </c>
      <c r="H6" s="15" t="inlineStr">
        <is>
          <t>合规</t>
        </is>
      </c>
    </row>
    <row r="7">
      <c r="A7" s="4" t="inlineStr">
        <is>
          <t>单一证券≤20%</t>
        </is>
      </c>
      <c r="B7" s="4" t="inlineStr">
        <is>
          <t>P07</t>
        </is>
      </c>
      <c r="C7" s="6" t="n">
        <v>140760</v>
      </c>
      <c r="D7" s="7" t="n">
        <v>0.1363081750043577</v>
      </c>
      <c r="E7" s="4" t="inlineStr">
        <is>
          <t>20%</t>
        </is>
      </c>
      <c r="F7" s="15" t="inlineStr">
        <is>
          <t>合规</t>
        </is>
      </c>
      <c r="G7" s="7" t="n">
        <v>0.1432438483300429</v>
      </c>
      <c r="H7" s="15" t="inlineStr">
        <is>
          <t>合规</t>
        </is>
      </c>
    </row>
    <row r="8">
      <c r="A8" s="4" t="inlineStr">
        <is>
          <t>科技主题≤40%</t>
        </is>
      </c>
      <c r="B8" s="4" t="inlineStr">
        <is>
          <t>科技组合(P01+P02+P05+P07)</t>
        </is>
      </c>
      <c r="C8" s="6" t="n">
        <v>689960</v>
      </c>
      <c r="D8" s="7" t="n">
        <v>0.6681385935351423</v>
      </c>
      <c r="E8" s="4" t="inlineStr">
        <is>
          <t>40%</t>
        </is>
      </c>
      <c r="F8" s="12" t="inlineStr">
        <is>
          <t>超限</t>
        </is>
      </c>
      <c r="G8" s="7" t="n">
        <v>0.702135021268801</v>
      </c>
      <c r="H8" s="12" t="inlineStr">
        <is>
          <t>超限</t>
        </is>
      </c>
    </row>
    <row r="9">
      <c r="A9" s="4" t="inlineStr">
        <is>
          <t>高风险≤45%</t>
        </is>
      </c>
      <c r="B9" s="4" t="inlineStr">
        <is>
          <t>高风险组合(P01+P02+P05)</t>
        </is>
      </c>
      <c r="C9" s="6" t="n">
        <v>549200</v>
      </c>
      <c r="D9" s="7" t="n">
        <v>0.5318304185307846</v>
      </c>
      <c r="E9" s="4" t="inlineStr">
        <is>
          <t>45%</t>
        </is>
      </c>
      <c r="F9" s="12" t="inlineStr">
        <is>
          <t>超限</t>
        </is>
      </c>
      <c r="G9" s="7" t="n">
        <v>0.5588911729387581</v>
      </c>
      <c r="H9" s="12" t="inlineStr">
        <is>
          <t>超限</t>
        </is>
      </c>
    </row>
    <row r="10">
      <c r="A10" s="4" t="inlineStr">
        <is>
          <t>外币资产≤15%</t>
        </is>
      </c>
      <c r="B10" s="4" t="inlineStr">
        <is>
          <t>外币合计(P07+美元现金)</t>
        </is>
      </c>
      <c r="C10" s="6" t="n">
        <v>162300</v>
      </c>
      <c r="D10" s="7" t="n">
        <v>0.1571669281273604</v>
      </c>
      <c r="E10" s="4" t="inlineStr">
        <is>
          <t>15%</t>
        </is>
      </c>
      <c r="F10" s="12" t="inlineStr">
        <is>
          <t>超限</t>
        </is>
      </c>
      <c r="G10" s="7" t="n">
        <v>0.16516394276759</v>
      </c>
      <c r="H10" s="12" t="inlineStr">
        <is>
          <t>超限</t>
        </is>
      </c>
    </row>
    <row r="11">
      <c r="A11" s="4" t="inlineStr">
        <is>
          <t>现金类≥10%(转出后)</t>
        </is>
      </c>
      <c r="B11" s="4" t="inlineStr">
        <is>
          <t>人民币可用现金</t>
        </is>
      </c>
      <c r="C11" s="4" t="n">
        <v>92500</v>
      </c>
      <c r="D11" s="7" t="n">
        <v>0.09413225327173183</v>
      </c>
      <c r="E11" s="4" t="inlineStr">
        <is>
          <t>≥10%</t>
        </is>
      </c>
      <c r="F11" s="12" t="inlineStr">
        <is>
          <t>超限</t>
        </is>
      </c>
      <c r="G11" s="7" t="n">
        <v>0.09413225327173183</v>
      </c>
      <c r="H11" s="12" t="inlineStr">
        <is>
          <t>超限</t>
        </is>
      </c>
    </row>
    <row r="12"/>
    <row r="13">
      <c r="A13" s="2" t="inlineStr">
        <is>
          <t>超限金额与缺口测算（基于转出后总资产982,660元）</t>
        </is>
      </c>
    </row>
    <row r="14">
      <c r="A14" s="3" t="inlineStr">
        <is>
          <t>约束项</t>
        </is>
      </c>
      <c r="B14" s="3" t="inlineStr">
        <is>
          <t>超限/缺口金额(元)</t>
        </is>
      </c>
      <c r="C14" s="3" t="inlineStr">
        <is>
          <t>说明</t>
        </is>
      </c>
    </row>
    <row r="15">
      <c r="A15" s="4" t="inlineStr">
        <is>
          <t>P05单票超限</t>
        </is>
      </c>
      <c r="B15" s="6" t="n">
        <v>13468</v>
      </c>
      <c r="C15" s="4" t="inlineStr">
        <is>
          <t>需减持至少约13,468元市值（约200股）方可回到20%以内</t>
        </is>
      </c>
    </row>
    <row r="16">
      <c r="A16" s="4" t="inlineStr">
        <is>
          <t>科技主题超限</t>
        </is>
      </c>
      <c r="B16" s="6" t="n">
        <v>296896</v>
      </c>
      <c r="C16" s="4" t="inlineStr">
        <is>
          <t>需减持约276,896元科技市值；P02若跌停无法成交则需多日减持</t>
        </is>
      </c>
    </row>
    <row r="17">
      <c r="A17" s="4" t="inlineStr">
        <is>
          <t>高风险超限</t>
        </is>
      </c>
      <c r="B17" s="6" t="n">
        <v>107003</v>
      </c>
      <c r="C17" s="4" t="inlineStr">
        <is>
          <t>需减持约84,503元高风险市值</t>
        </is>
      </c>
    </row>
    <row r="18">
      <c r="A18" s="4" t="inlineStr">
        <is>
          <t>外币资产超限</t>
        </is>
      </c>
      <c r="B18" s="6" t="n">
        <v>14901</v>
      </c>
      <c r="C18" s="4" t="inlineStr">
        <is>
          <t>需减持约14,901元外币市值（约1,500份P07）</t>
        </is>
      </c>
    </row>
    <row r="19">
      <c r="A19" s="4" t="inlineStr">
        <is>
          <t>现金比例缺口</t>
        </is>
      </c>
      <c r="B19" s="6" t="n">
        <v>5766</v>
      </c>
      <c r="C19" s="4" t="inlineStr">
        <is>
          <t>转出后现金92,500元，需至少5,766元额外现金方可达到10%</t>
        </is>
      </c>
    </row>
    <row r="20"/>
    <row r="21">
      <c r="A21" s="16" t="inlineStr">
        <is>
          <t>说明：</t>
        </is>
      </c>
    </row>
    <row r="22">
      <c r="A22" s="17" t="inlineStr">
        <is>
          <t>1. 资金转出50,000元后总资产降至982,660元，分母缩小导致各项比例均进一步恶化。</t>
        </is>
      </c>
    </row>
    <row r="23">
      <c r="A23" s="17" t="inlineStr">
        <is>
          <t>2. P02处于跌停封单状态、P04停牌，二者均无法在转出当日可靠卖出，科技主题和高风险约束可能无法在一日内完全恢复。</t>
        </is>
      </c>
    </row>
    <row r="24">
      <c r="A24" s="17" t="inlineStr">
        <is>
          <t>3. 组合经理提出"P05长期看好暂不减持"的意见未经客户确认和风险例外审批，不能替代已批准的单票20%上限。</t>
        </is>
      </c>
    </row>
    <row r="25">
      <c r="A25" s="17" t="inlineStr">
        <is>
          <t>4. 本表仅用于调仓前诊断，不代表任何交易已下达。</t>
        </is>
      </c>
    </row>
  </sheetData>
  <mergeCells count="6">
    <mergeCell ref="A21:H21"/>
    <mergeCell ref="A25:H25"/>
    <mergeCell ref="A24:H24"/>
    <mergeCell ref="A1:H1"/>
    <mergeCell ref="A23:H23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8" customWidth="1" min="9" max="9"/>
    <col width="45" customWidth="1" min="10" max="10"/>
  </cols>
  <sheetData>
    <row r="1">
      <c r="A1" s="1" t="inlineStr">
        <is>
          <t>可交易数量、交易状态与流动性评估</t>
        </is>
      </c>
    </row>
    <row r="3">
      <c r="A3" s="3" t="inlineStr">
        <is>
          <t>证券ID</t>
        </is>
      </c>
      <c r="B3" s="3" t="inlineStr">
        <is>
          <t>交易状态</t>
        </is>
      </c>
      <c r="C3" s="3" t="inlineStr">
        <is>
          <t>涨跌停</t>
        </is>
      </c>
      <c r="D3" s="3" t="inlineStr">
        <is>
          <t>总持仓</t>
        </is>
      </c>
      <c r="E3" s="3" t="inlineStr">
        <is>
          <t>当日买入</t>
        </is>
      </c>
      <c r="F3" s="3" t="inlineStr">
        <is>
          <t>当前可卖</t>
        </is>
      </c>
      <c r="G3" s="3" t="inlineStr">
        <is>
          <t>8/17起可卖</t>
        </is>
      </c>
      <c r="H3" s="3" t="inlineStr">
        <is>
          <t>最小单位</t>
        </is>
      </c>
      <c r="I3" s="3" t="inlineStr">
        <is>
          <t>20日日均成交额(万元)</t>
        </is>
      </c>
      <c r="J3" s="3" t="inlineStr">
        <is>
          <t>流动性评估与交易限制</t>
        </is>
      </c>
    </row>
    <row r="4">
      <c r="A4" s="4" t="inlineStr">
        <is>
          <t>P01</t>
        </is>
      </c>
      <c r="B4" s="4" t="inlineStr">
        <is>
          <t>正常</t>
        </is>
      </c>
      <c r="C4" s="4" t="inlineStr">
        <is>
          <t>无</t>
        </is>
      </c>
      <c r="D4" s="4" t="n">
        <v>5000</v>
      </c>
      <c r="E4" s="4" t="n">
        <v>1000</v>
      </c>
      <c r="F4" s="4" t="n">
        <v>4000</v>
      </c>
      <c r="G4" s="4" t="n">
        <v>5000</v>
      </c>
      <c r="H4" s="4" t="n">
        <v>100</v>
      </c>
      <c r="I4" s="4" t="n">
        <v>8600</v>
      </c>
      <c r="J4" s="4" t="inlineStr">
        <is>
          <t>8/14买入的1000股T+1，8/17(周一)起全部5000股可卖；流动性良好</t>
        </is>
      </c>
    </row>
    <row r="5">
      <c r="A5" s="12" t="inlineStr">
        <is>
          <t>P02</t>
        </is>
      </c>
      <c r="B5" s="12" t="inlineStr">
        <is>
          <t>正常</t>
        </is>
      </c>
      <c r="C5" s="12" t="inlineStr">
        <is>
          <t>跌停</t>
        </is>
      </c>
      <c r="D5" s="12" t="n">
        <v>3000</v>
      </c>
      <c r="E5" s="12" t="n">
        <v>0</v>
      </c>
      <c r="F5" s="12" t="n">
        <v>3000</v>
      </c>
      <c r="G5" s="12" t="inlineStr">
        <is>
          <t>3000(挂单，成交不确定)</t>
        </is>
      </c>
      <c r="H5" s="12" t="n">
        <v>100</v>
      </c>
      <c r="I5" s="12" t="n">
        <v>2100</v>
      </c>
      <c r="J5" s="12" t="inlineStr">
        <is>
          <t>8/14跌停封单，8/17若继续跌停则无法成交；若打开则可按100股整数卖出</t>
        </is>
      </c>
    </row>
    <row r="6">
      <c r="A6" s="4" t="inlineStr">
        <is>
          <t>P03</t>
        </is>
      </c>
      <c r="B6" s="4" t="inlineStr">
        <is>
          <t>正常</t>
        </is>
      </c>
      <c r="C6" s="4" t="inlineStr">
        <is>
          <t>无</t>
        </is>
      </c>
      <c r="D6" s="4" t="n">
        <v>8000</v>
      </c>
      <c r="E6" s="4" t="n">
        <v>0</v>
      </c>
      <c r="F6" s="4" t="n">
        <v>8000</v>
      </c>
      <c r="G6" s="4" t="n">
        <v>8000</v>
      </c>
      <c r="H6" s="4" t="n">
        <v>100</v>
      </c>
      <c r="I6" s="4" t="n">
        <v>4700</v>
      </c>
      <c r="J6" s="4" t="inlineStr">
        <is>
          <t>正常交易，流动性良好</t>
        </is>
      </c>
    </row>
    <row r="7">
      <c r="A7" s="18" t="inlineStr">
        <is>
          <t>P04</t>
        </is>
      </c>
      <c r="B7" s="18" t="inlineStr">
        <is>
          <t>停牌</t>
        </is>
      </c>
      <c r="C7" s="18" t="inlineStr">
        <is>
          <t>不适用</t>
        </is>
      </c>
      <c r="D7" s="18" t="n">
        <v>6000</v>
      </c>
      <c r="E7" s="18" t="n">
        <v>0</v>
      </c>
      <c r="F7" s="18" t="n">
        <v>0</v>
      </c>
      <c r="G7" s="18" t="n">
        <v>0</v>
      </c>
      <c r="H7" s="18" t="n">
        <v>100</v>
      </c>
      <c r="I7" s="18" t="n">
        <v>900</v>
      </c>
      <c r="J7" s="18" t="inlineStr">
        <is>
          <t>8/14起全天停牌，复牌日未确定，当前完全不可交易</t>
        </is>
      </c>
    </row>
    <row r="8">
      <c r="A8" s="4" t="inlineStr">
        <is>
          <t>P05</t>
        </is>
      </c>
      <c r="B8" s="4" t="inlineStr">
        <is>
          <t>正常</t>
        </is>
      </c>
      <c r="C8" s="4" t="inlineStr">
        <is>
          <t>无</t>
        </is>
      </c>
      <c r="D8" s="4" t="n">
        <v>2000</v>
      </c>
      <c r="E8" s="4" t="n">
        <v>0</v>
      </c>
      <c r="F8" s="4" t="n">
        <v>2000</v>
      </c>
      <c r="G8" s="4" t="n">
        <v>2000</v>
      </c>
      <c r="H8" s="4" t="n">
        <v>100</v>
      </c>
      <c r="I8" s="4" t="n">
        <v>12800</v>
      </c>
      <c r="J8" s="4" t="inlineStr">
        <is>
          <t>正常交易，流动性良好</t>
        </is>
      </c>
    </row>
    <row r="9">
      <c r="A9" s="4" t="inlineStr">
        <is>
          <t>P06</t>
        </is>
      </c>
      <c r="B9" s="4" t="inlineStr">
        <is>
          <t>正常</t>
        </is>
      </c>
      <c r="C9" s="4" t="inlineStr">
        <is>
          <t>无</t>
        </is>
      </c>
      <c r="D9" s="4" t="n">
        <v>10000</v>
      </c>
      <c r="E9" s="4" t="n">
        <v>0</v>
      </c>
      <c r="F9" s="4" t="n">
        <v>10000</v>
      </c>
      <c r="G9" s="4" t="n">
        <v>10000</v>
      </c>
      <c r="H9" s="4" t="n">
        <v>100</v>
      </c>
      <c r="I9" s="4" t="n">
        <v>56000</v>
      </c>
      <c r="J9" s="4" t="inlineStr">
        <is>
          <t>8/12除权后正常交易，日均成交额5.6亿元，流动性极佳</t>
        </is>
      </c>
    </row>
    <row r="10">
      <c r="A10" s="4" t="inlineStr">
        <is>
          <t>P07</t>
        </is>
      </c>
      <c r="B10" s="4" t="inlineStr">
        <is>
          <t>正常</t>
        </is>
      </c>
      <c r="C10" s="4" t="inlineStr">
        <is>
          <t>无</t>
        </is>
      </c>
      <c r="D10" s="4" t="n">
        <v>10000</v>
      </c>
      <c r="E10" s="4" t="n">
        <v>0</v>
      </c>
      <c r="F10" s="4" t="n">
        <v>10000</v>
      </c>
      <c r="G10" s="4" t="n">
        <v>10000</v>
      </c>
      <c r="H10" s="4" t="n">
        <v>500</v>
      </c>
      <c r="I10" s="4" t="n">
        <v>12500</v>
      </c>
      <c r="J10" s="4" t="inlineStr">
        <is>
          <t>港股ETF，500份整数交易，港币计价，需考虑汇率波动</t>
        </is>
      </c>
    </row>
    <row r="12">
      <c r="A12" s="2" t="inlineStr">
        <is>
          <t>特殊交易状态处理说明</t>
        </is>
      </c>
    </row>
    <row r="13" ht="30" customHeight="1">
      <c r="A13" s="5" t="inlineStr">
        <is>
          <t>停牌（P04）：可卖数量为0，不得在调仓计划中写成可成交。复牌后需重新评估价格和流动性，复牌首日可能存在补跌风险。</t>
        </is>
      </c>
    </row>
    <row r="14" ht="30" customHeight="1">
      <c r="A14" s="5" t="inlineStr">
        <is>
          <t>跌停（P02）：8/14收盘封单，8/17能否成交取决于是否打开跌停。若继续跌停，卖出挂单无法成交，应列入"无法成交"分支处理。</t>
        </is>
      </c>
    </row>
    <row r="15" ht="30" customHeight="1">
      <c r="A15" s="5" t="inlineStr">
        <is>
          <t>当日买入（P01批次3）：1000股于8/14买入，按T+1规则8/15起可卖；调仓日为8/17（周一），该批次已可卖，全部5000股纳入可卖数量。</t>
        </is>
      </c>
    </row>
    <row r="16" ht="30" customHeight="1">
      <c r="A16" s="5" t="inlineStr">
        <is>
          <t>除权（P06）：8/12每份现金分配0.80元，除权后参考价2.88元。现金分配不视为投资损失，比较成本收益时应将8,000元分红计入总回报。</t>
        </is>
      </c>
    </row>
    <row r="17" ht="30" customHeight="1">
      <c r="A17" s="5" t="inlineStr">
        <is>
          <t>跨币种（P07+美元现金）：P07以港币计价，按0.92折算人民币；美元现金按7.18折算。卖出P07回款为港币，若需补充人民币现金需另行结汇。</t>
        </is>
      </c>
    </row>
  </sheetData>
  <mergeCells count="6">
    <mergeCell ref="A1:J1"/>
    <mergeCell ref="A14:J14"/>
    <mergeCell ref="A17:J17"/>
    <mergeCell ref="A15:J15"/>
    <mergeCell ref="A16:J16"/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5" customWidth="1" min="3" max="3"/>
    <col width="25" customWidth="1" min="4" max="4"/>
    <col width="40" customWidth="1" min="5" max="5"/>
  </cols>
  <sheetData>
    <row r="1">
      <c r="A1" s="1" t="inlineStr">
        <is>
          <t>5万元资金转出对现金比例与风险约束的影响分析</t>
        </is>
      </c>
    </row>
    <row r="3">
      <c r="A3" s="2" t="inlineStr">
        <is>
          <t>一、转出前后账户对比</t>
        </is>
      </c>
    </row>
    <row r="4">
      <c r="A4" s="3" t="inlineStr">
        <is>
          <t>项目</t>
        </is>
      </c>
      <c r="B4" s="3" t="inlineStr">
        <is>
          <t>转出前</t>
        </is>
      </c>
      <c r="C4" s="3" t="inlineStr">
        <is>
          <t>转出后</t>
        </is>
      </c>
      <c r="D4" s="3" t="inlineStr">
        <is>
          <t>变动</t>
        </is>
      </c>
      <c r="E4" s="3" t="inlineStr">
        <is>
          <t>说明</t>
        </is>
      </c>
    </row>
    <row r="5">
      <c r="A5" s="4" t="inlineStr">
        <is>
          <t>总资产(元)</t>
        </is>
      </c>
      <c r="B5" s="4" t="n">
        <v>1032660</v>
      </c>
      <c r="C5" s="4" t="n">
        <v>982660</v>
      </c>
      <c r="D5" s="4" t="n">
        <v>-50000</v>
      </c>
      <c r="E5" s="4" t="inlineStr">
        <is>
          <t>客户已确认8/17净转出50,000元</t>
        </is>
      </c>
    </row>
    <row r="6">
      <c r="A6" s="4" t="inlineStr">
        <is>
          <t>人民币现金(元)</t>
        </is>
      </c>
      <c r="B6" s="4" t="n">
        <v>142500</v>
      </c>
      <c r="C6" s="4" t="n">
        <v>92500</v>
      </c>
      <c r="D6" s="4" t="n">
        <v>-50000</v>
      </c>
      <c r="E6" s="4" t="inlineStr">
        <is>
          <t>从人民币可用现金中扣减</t>
        </is>
      </c>
    </row>
    <row r="7">
      <c r="A7" s="4" t="inlineStr">
        <is>
          <t>现金比例(人民币现金/总资产)</t>
        </is>
      </c>
      <c r="B7" s="7" t="n">
        <v>0.1379931439195863</v>
      </c>
      <c r="C7" s="7" t="n">
        <v>0.09413225327173183</v>
      </c>
      <c r="D7" s="7" t="n">
        <v>-0.04386089064785448</v>
      </c>
      <c r="E7" s="4" t="inlineStr">
        <is>
          <t>转出后低于10%下限</t>
        </is>
      </c>
    </row>
    <row r="8">
      <c r="A8" s="4" t="inlineStr">
        <is>
          <t>10%现金下限要求(元)</t>
        </is>
      </c>
      <c r="B8" s="6" t="n">
        <v>103266</v>
      </c>
      <c r="C8" s="6" t="n">
        <v>98266</v>
      </c>
      <c r="D8" s="6" t="n">
        <v>-5000</v>
      </c>
      <c r="E8" s="4" t="inlineStr">
        <is>
          <t>随总资产下降而降低</t>
        </is>
      </c>
    </row>
    <row r="9">
      <c r="A9" s="4" t="inlineStr">
        <is>
          <t>现金缺口(元)</t>
        </is>
      </c>
      <c r="B9" s="4" t="n">
        <v>0</v>
      </c>
      <c r="C9" s="6" t="n">
        <v>5766</v>
      </c>
      <c r="D9" s="6" t="n">
        <v>5766</v>
      </c>
      <c r="E9" s="4" t="inlineStr">
        <is>
          <t>需额外变现至少5,766元</t>
        </is>
      </c>
    </row>
    <row r="10">
      <c r="A10" s="4" t="inlineStr">
        <is>
          <t>证券市值(元)</t>
        </is>
      </c>
      <c r="B10" s="6" t="n">
        <v>869820</v>
      </c>
      <c r="C10" s="6" t="n">
        <v>869820</v>
      </c>
      <c r="D10" s="4" t="n">
        <v>0</v>
      </c>
      <c r="E10" s="4" t="inlineStr">
        <is>
          <t>转出不影响持仓市值</t>
        </is>
      </c>
    </row>
    <row r="11">
      <c r="A11" s="4" t="inlineStr">
        <is>
          <t>美元现金折算(元)</t>
        </is>
      </c>
      <c r="B11" s="6" t="n">
        <v>21540</v>
      </c>
      <c r="C11" s="6" t="n">
        <v>21540</v>
      </c>
      <c r="D11" s="4" t="n">
        <v>0</v>
      </c>
      <c r="E11" s="4" t="inlineStr">
        <is>
          <t>不变</t>
        </is>
      </c>
    </row>
    <row r="12"/>
    <row r="13">
      <c r="A13" s="2" t="inlineStr">
        <is>
          <t>二、转出后各项约束恶化情况</t>
        </is>
      </c>
    </row>
    <row r="14">
      <c r="A14" s="3" t="inlineStr">
        <is>
          <t>约束项</t>
        </is>
      </c>
      <c r="B14" s="3" t="inlineStr">
        <is>
          <t>转出前比例</t>
        </is>
      </c>
      <c r="C14" s="3" t="inlineStr">
        <is>
          <t>转出后比例</t>
        </is>
      </c>
      <c r="D14" s="3" t="inlineStr">
        <is>
          <t>变化</t>
        </is>
      </c>
      <c r="E14" s="3" t="inlineStr">
        <is>
          <t>超限金额变化</t>
        </is>
      </c>
    </row>
    <row r="15">
      <c r="A15" s="4" t="inlineStr">
        <is>
          <t>P05单票(≤20%)</t>
        </is>
      </c>
      <c r="B15" s="7" t="n">
        <v>0.2033583173551798</v>
      </c>
      <c r="C15" s="7" t="n">
        <v>0.2137056560763642</v>
      </c>
      <c r="D15" s="7" t="n">
        <v>0.01034733872118432</v>
      </c>
      <c r="E15" s="4" t="inlineStr">
        <is>
          <t>超限额由3468.0增至13468.0元</t>
        </is>
      </c>
    </row>
    <row r="16">
      <c r="A16" s="4" t="inlineStr">
        <is>
          <t>科技主题(≤40%)</t>
        </is>
      </c>
      <c r="B16" s="7" t="n">
        <v>0.6681385935351423</v>
      </c>
      <c r="C16" s="7" t="n">
        <v>0.702135021268801</v>
      </c>
      <c r="D16" s="7" t="n">
        <v>0.03399642773365874</v>
      </c>
      <c r="E16" s="4" t="inlineStr">
        <is>
          <t>超限额由276896.0增至296896.0元</t>
        </is>
      </c>
    </row>
    <row r="17">
      <c r="A17" s="4" t="inlineStr">
        <is>
          <t>高风险(≤45%)</t>
        </is>
      </c>
      <c r="B17" s="7" t="n">
        <v>0.5318304185307846</v>
      </c>
      <c r="C17" s="7" t="n">
        <v>0.5588911729387581</v>
      </c>
      <c r="D17" s="7" t="n">
        <v>0.02706075440797351</v>
      </c>
      <c r="E17" s="4" t="inlineStr">
        <is>
          <t>超限额由84503.0增至107003.0元</t>
        </is>
      </c>
    </row>
    <row r="18">
      <c r="A18" s="4" t="inlineStr">
        <is>
          <t>外币资产(≤15%)</t>
        </is>
      </c>
      <c r="B18" s="7" t="n">
        <v>0.1571669281273604</v>
      </c>
      <c r="C18" s="7" t="n">
        <v>0.16516394276759</v>
      </c>
      <c r="D18" s="7" t="n">
        <v>0.007997014640229588</v>
      </c>
      <c r="E18" s="4" t="inlineStr">
        <is>
          <t>超限额由7401.0增至14901.0元</t>
        </is>
      </c>
    </row>
    <row r="19">
      <c r="A19" s="4" t="inlineStr">
        <is>
          <t>现金比例(≥10%)</t>
        </is>
      </c>
      <c r="B19" s="7" t="n">
        <v>0.1379931439195863</v>
      </c>
      <c r="C19" s="7" t="n">
        <v>0.09413225327173183</v>
      </c>
      <c r="D19" s="7" t="n">
        <v>-0.04386089064785448</v>
      </c>
      <c r="E19" s="4" t="inlineStr">
        <is>
          <t>由合规转为超限，缺口5766.0元</t>
        </is>
      </c>
    </row>
    <row r="20"/>
    <row r="21">
      <c r="A21" s="2" t="inlineStr">
        <is>
          <t>三、优先处理持仓及理由</t>
        </is>
      </c>
    </row>
    <row r="22">
      <c r="A22" s="3" t="inlineStr">
        <is>
          <t>优先级</t>
        </is>
      </c>
      <c r="B22" s="3" t="inlineStr">
        <is>
          <t>证券</t>
        </is>
      </c>
      <c r="C22" s="3" t="inlineStr">
        <is>
          <t>核心理由</t>
        </is>
      </c>
      <c r="D22" s="3" t="inlineStr">
        <is>
          <t>可交易性</t>
        </is>
      </c>
      <c r="E22" s="3" t="inlineStr">
        <is>
          <t>建议动作</t>
        </is>
      </c>
    </row>
    <row r="23">
      <c r="A23" s="4" t="inlineStr">
        <is>
          <t>1</t>
        </is>
      </c>
      <c r="B23" s="4" t="inlineStr">
        <is>
          <t>P05</t>
        </is>
      </c>
      <c r="C23" s="4" t="inlineStr">
        <is>
          <t>单票权重20.34%已超20%上限，转出后升至21.37%；浮动盈利+45,200元，减持不产生亏损；流动性好（日均1.28亿）</t>
        </is>
      </c>
      <c r="D23" s="4" t="inlineStr">
        <is>
          <t>8/17可正常卖出</t>
        </is>
      </c>
      <c r="E23" s="4" t="inlineStr">
        <is>
          <t>减持200股（约21,000元），恢复单票合规并补充现金</t>
        </is>
      </c>
    </row>
    <row r="24">
      <c r="A24" s="4" t="inlineStr">
        <is>
          <t>2</t>
        </is>
      </c>
      <c r="B24" s="4" t="inlineStr">
        <is>
          <t>P07</t>
        </is>
      </c>
      <c r="C24" s="4" t="inlineStr">
        <is>
          <t>外币资产合计15.72%超15%上限，P07是主要外币持仓；同时属于科技主题，减持可同时降低外币和科技暴露</t>
        </is>
      </c>
      <c r="D24" s="4" t="inlineStr">
        <is>
          <t>8/17可正常卖出（500份整数）</t>
        </is>
      </c>
      <c r="E24" s="4" t="inlineStr">
        <is>
          <t>减持1500份（约21,114元），恢复外币合规</t>
        </is>
      </c>
    </row>
    <row r="25">
      <c r="A25" s="4" t="inlineStr">
        <is>
          <t>3</t>
        </is>
      </c>
      <c r="B25" s="4" t="inlineStr">
        <is>
          <t>P02</t>
        </is>
      </c>
      <c r="C25" s="4" t="inlineStr">
        <is>
          <t>科技+高风险双重超限的核心头寸之一（市值175,200元）；但8/14跌停封单，8/17能否成交不确定</t>
        </is>
      </c>
      <c r="D25" s="4" t="inlineStr">
        <is>
          <t>若打开跌停可卖3000股；若继续跌停则无法成交</t>
        </is>
      </c>
      <c r="E25" s="4" t="inlineStr">
        <is>
          <t>若打开跌停则卖出全部3000股；若继续跌停则挂单等待，无法成交时改用P01替代</t>
        </is>
      </c>
    </row>
    <row r="26">
      <c r="A26" s="4" t="inlineStr">
        <is>
          <t>4</t>
        </is>
      </c>
      <c r="B26" s="4" t="inlineStr">
        <is>
          <t>P01</t>
        </is>
      </c>
      <c r="C26" s="4" t="inlineStr">
        <is>
          <t>科技+高风险头寸，转出后仍是超限来源；8/17起全部5000股可卖；但当前浮亏-32,150元，减持会实现亏损</t>
        </is>
      </c>
      <c r="D26" s="4" t="inlineStr">
        <is>
          <t>8/17可正常卖出</t>
        </is>
      </c>
      <c r="E26" s="4" t="inlineStr">
        <is>
          <t>在P02无法成交时，卖出2500股以降低科技和高风险暴露；若P02成交则视缺口决定减持数量</t>
        </is>
      </c>
    </row>
    <row r="27">
      <c r="A27" s="4" t="inlineStr">
        <is>
          <t>5</t>
        </is>
      </c>
      <c r="B27" s="4" t="inlineStr">
        <is>
          <t>P03/P06</t>
        </is>
      </c>
      <c r="C27" s="4" t="inlineStr">
        <is>
          <t>非超限来源，P06流动性极佳可作为应急现金来源；P03为防御性医药持仓，与科技相关系数低</t>
        </is>
      </c>
      <c r="D27" s="4" t="inlineStr">
        <is>
          <t>均可正常卖出</t>
        </is>
      </c>
      <c r="E27" s="4" t="inlineStr">
        <is>
          <t>暂不主动减持；仅在现金缺口无法通过其他方式弥补时动用P06</t>
        </is>
      </c>
    </row>
    <row r="28">
      <c r="A28" s="4" t="inlineStr">
        <is>
          <t>6</t>
        </is>
      </c>
      <c r="B28" s="4" t="inlineStr">
        <is>
          <t>P04</t>
        </is>
      </c>
      <c r="C28" s="4" t="inlineStr">
        <is>
          <t>停牌中完全不可交易，市值74,100元属于工业/中风险，不直接导致超限</t>
        </is>
      </c>
      <c r="D28" s="4" t="inlineStr">
        <is>
          <t>不可交易</t>
        </is>
      </c>
      <c r="E28" s="4" t="inlineStr">
        <is>
          <t>不做操作；复牌后重新评估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8" customWidth="1" min="4" max="4"/>
    <col width="16" customWidth="1" min="5" max="5"/>
    <col width="12" customWidth="1" min="6" max="6"/>
    <col width="16" customWidth="1" min="7" max="7"/>
    <col width="14" customWidth="1" min="8" max="8"/>
    <col width="16" customWidth="1" min="9" max="9"/>
    <col width="22" customWidth="1" min="10" max="10"/>
  </cols>
  <sheetData>
    <row r="1">
      <c r="A1" s="1" t="inlineStr">
        <is>
          <t>调仓条件规则、预计费用与调整后组合影响</t>
        </is>
      </c>
    </row>
    <row r="3">
      <c r="A3" s="2" t="inlineStr">
        <is>
          <t>一、可执行条件规则</t>
        </is>
      </c>
    </row>
    <row r="4">
      <c r="A4" s="3" t="inlineStr">
        <is>
          <t>规则</t>
        </is>
      </c>
      <c r="B4" s="3" t="inlineStr">
        <is>
          <t>触发条件</t>
        </is>
      </c>
      <c r="C4" s="3" t="inlineStr">
        <is>
          <t>操作</t>
        </is>
      </c>
      <c r="D4" s="3" t="inlineStr">
        <is>
          <t>标的</t>
        </is>
      </c>
      <c r="E4" s="3" t="inlineStr">
        <is>
          <t>数量</t>
        </is>
      </c>
      <c r="F4" s="3" t="inlineStr">
        <is>
          <t>参考价</t>
        </is>
      </c>
      <c r="G4" s="3" t="inlineStr">
        <is>
          <t>预计成交额(元)</t>
        </is>
      </c>
      <c r="H4" s="3" t="inlineStr">
        <is>
          <t>预计费用(元)</t>
        </is>
      </c>
      <c r="I4" s="3" t="inlineStr">
        <is>
          <t>预计净回款(元)</t>
        </is>
      </c>
      <c r="J4" s="3" t="inlineStr">
        <is>
          <t>解决约束</t>
        </is>
      </c>
    </row>
    <row r="5">
      <c r="A5" s="4" t="inlineStr">
        <is>
          <t>R1</t>
        </is>
      </c>
      <c r="B5" s="4" t="inlineStr">
        <is>
          <t>8/17开盘后P05正常交易且未跌停</t>
        </is>
      </c>
      <c r="C5" s="4" t="inlineStr">
        <is>
          <t>卖出</t>
        </is>
      </c>
      <c r="D5" s="4" t="inlineStr">
        <is>
          <t>P05</t>
        </is>
      </c>
      <c r="E5" s="4" t="inlineStr">
        <is>
          <t>200股(2手)</t>
        </is>
      </c>
      <c r="F5" s="4" t="inlineStr">
        <is>
          <t>105.00</t>
        </is>
      </c>
      <c r="G5" s="4" t="n">
        <v>21000</v>
      </c>
      <c r="H5" s="6" t="n">
        <v>16.8</v>
      </c>
      <c r="I5" s="6" t="n">
        <v>20983.2</v>
      </c>
      <c r="J5" s="4" t="inlineStr">
        <is>
          <t>单票≤20%、补充现金</t>
        </is>
      </c>
    </row>
    <row r="6">
      <c r="A6" s="4" t="inlineStr">
        <is>
          <t>R2</t>
        </is>
      </c>
      <c r="B6" s="4" t="inlineStr">
        <is>
          <t>8/17 P07正常交易</t>
        </is>
      </c>
      <c r="C6" s="4" t="inlineStr">
        <is>
          <t>卖出</t>
        </is>
      </c>
      <c r="D6" s="4" t="inlineStr">
        <is>
          <t>P07</t>
        </is>
      </c>
      <c r="E6" s="4" t="inlineStr">
        <is>
          <t>1500份(3手)</t>
        </is>
      </c>
      <c r="F6" s="4" t="inlineStr">
        <is>
          <t>15.30港币</t>
        </is>
      </c>
      <c r="G6" s="6" t="n">
        <v>21114</v>
      </c>
      <c r="H6" s="6" t="n">
        <v>21.11</v>
      </c>
      <c r="I6" s="6" t="n">
        <v>21092.89</v>
      </c>
      <c r="J6" s="4" t="inlineStr">
        <is>
          <t>外币≤15%、降低科技</t>
        </is>
      </c>
    </row>
    <row r="7">
      <c r="A7" s="4" t="inlineStr">
        <is>
          <t>R3</t>
        </is>
      </c>
      <c r="B7" s="4" t="inlineStr">
        <is>
          <t>8/17 P02打开跌停或未封跌停</t>
        </is>
      </c>
      <c r="C7" s="4" t="inlineStr">
        <is>
          <t>卖出</t>
        </is>
      </c>
      <c r="D7" s="4" t="inlineStr">
        <is>
          <t>P02</t>
        </is>
      </c>
      <c r="E7" s="4" t="inlineStr">
        <is>
          <t>3000股(30手)</t>
        </is>
      </c>
      <c r="F7" s="4" t="inlineStr">
        <is>
          <t>58.40</t>
        </is>
      </c>
      <c r="G7" s="6" t="n">
        <v>175200</v>
      </c>
      <c r="H7" s="6" t="n">
        <v>140.16</v>
      </c>
      <c r="I7" s="6" t="n">
        <v>175059.84</v>
      </c>
      <c r="J7" s="4" t="inlineStr">
        <is>
          <t>科技≤40%、高风险≤45%</t>
        </is>
      </c>
    </row>
    <row r="8">
      <c r="A8" s="4" t="inlineStr">
        <is>
          <t>R4</t>
        </is>
      </c>
      <c r="B8" s="4" t="inlineStr">
        <is>
          <t>R3成交后科技比例仍&gt;40%，或R3未成交需替代</t>
        </is>
      </c>
      <c r="C8" s="4" t="inlineStr">
        <is>
          <t>卖出</t>
        </is>
      </c>
      <c r="D8" s="4" t="inlineStr">
        <is>
          <t>P01</t>
        </is>
      </c>
      <c r="E8" s="4" t="inlineStr">
        <is>
          <t>2500股(25手)</t>
        </is>
      </c>
      <c r="F8" s="4" t="inlineStr">
        <is>
          <t>32.80</t>
        </is>
      </c>
      <c r="G8" s="6" t="n">
        <v>82000</v>
      </c>
      <c r="H8" s="6" t="n">
        <v>65.59999999999999</v>
      </c>
      <c r="I8" s="6" t="n">
        <v>81934.39999999999</v>
      </c>
      <c r="J8" s="4" t="inlineStr">
        <is>
          <t>科技≤40%、高风险≤45%、补充现金</t>
        </is>
      </c>
    </row>
    <row r="9"/>
    <row r="10">
      <c r="A10" s="2" t="inlineStr">
        <is>
          <t>二、费用明细测算</t>
        </is>
      </c>
    </row>
    <row r="11">
      <c r="A11" s="3" t="inlineStr">
        <is>
          <t>标的</t>
        </is>
      </c>
      <c r="B11" s="3" t="inlineStr">
        <is>
          <t>成交额(元)</t>
        </is>
      </c>
      <c r="C11" s="3" t="inlineStr">
        <is>
          <t>佣金率</t>
        </is>
      </c>
      <c r="D11" s="3" t="inlineStr">
        <is>
          <t>佣金(元)</t>
        </is>
      </c>
      <c r="E11" s="3" t="inlineStr">
        <is>
          <t>印花税率</t>
        </is>
      </c>
      <c r="F11" s="3" t="inlineStr">
        <is>
          <t>印花税(元)</t>
        </is>
      </c>
      <c r="G11" s="3" t="inlineStr">
        <is>
          <t>其他费率</t>
        </is>
      </c>
      <c r="H11" s="3" t="inlineStr">
        <is>
          <t>其他费用(元)</t>
        </is>
      </c>
      <c r="I11" s="3" t="inlineStr">
        <is>
          <t>费用合计(元)</t>
        </is>
      </c>
      <c r="J11" s="3" t="inlineStr">
        <is>
          <t>费用口径</t>
        </is>
      </c>
    </row>
    <row r="12">
      <c r="A12" s="4" t="inlineStr">
        <is>
          <t>P05(A股)</t>
        </is>
      </c>
      <c r="B12" s="4" t="n">
        <v>21000</v>
      </c>
      <c r="C12" s="4" t="inlineStr">
        <is>
          <t>0.03%</t>
        </is>
      </c>
      <c r="D12" s="7" t="n">
        <v>6.3</v>
      </c>
      <c r="E12" s="4" t="inlineStr">
        <is>
          <t>0.05%</t>
        </is>
      </c>
      <c r="F12" s="6" t="n">
        <v>10.5</v>
      </c>
      <c r="G12" s="4" t="inlineStr">
        <is>
          <t>—</t>
        </is>
      </c>
      <c r="H12" s="4" t="n">
        <v>0</v>
      </c>
      <c r="I12" s="6" t="n">
        <v>16.8</v>
      </c>
      <c r="J12" s="4" t="inlineStr">
        <is>
          <t>佣金最低5元；卖出计印花税</t>
        </is>
      </c>
    </row>
    <row r="13">
      <c r="A13" s="4" t="inlineStr">
        <is>
          <t>P07(港股ETF)</t>
        </is>
      </c>
      <c r="B13" s="6" t="n">
        <v>21114</v>
      </c>
      <c r="C13" s="4" t="inlineStr">
        <is>
          <t>—</t>
        </is>
      </c>
      <c r="D13" s="4" t="n">
        <v>0</v>
      </c>
      <c r="E13" s="4" t="inlineStr">
        <is>
          <t>—</t>
        </is>
      </c>
      <c r="F13" s="4" t="n">
        <v>0</v>
      </c>
      <c r="G13" s="4" t="inlineStr">
        <is>
          <t>0.10%</t>
        </is>
      </c>
      <c r="H13" s="6" t="n">
        <v>21.11</v>
      </c>
      <c r="I13" s="6" t="n">
        <v>21.11</v>
      </c>
      <c r="J13" s="4" t="inlineStr">
        <is>
          <t>综合费用0.10%</t>
        </is>
      </c>
    </row>
    <row r="14">
      <c r="A14" s="4" t="inlineStr">
        <is>
          <t>P02(A股)</t>
        </is>
      </c>
      <c r="B14" s="6" t="n">
        <v>175200</v>
      </c>
      <c r="C14" s="4" t="inlineStr">
        <is>
          <t>0.03%</t>
        </is>
      </c>
      <c r="D14" s="6" t="n">
        <v>52.56</v>
      </c>
      <c r="E14" s="4" t="inlineStr">
        <is>
          <t>0.05%</t>
        </is>
      </c>
      <c r="F14" s="6" t="n">
        <v>87.59999999999999</v>
      </c>
      <c r="G14" s="4" t="inlineStr">
        <is>
          <t>—</t>
        </is>
      </c>
      <c r="H14" s="4" t="n">
        <v>0</v>
      </c>
      <c r="I14" s="6" t="n">
        <v>140.16</v>
      </c>
      <c r="J14" s="4" t="inlineStr">
        <is>
          <t>佣金最低5元；卖出计印花税</t>
        </is>
      </c>
    </row>
    <row r="15">
      <c r="A15" s="4" t="inlineStr">
        <is>
          <t>P01(A股)</t>
        </is>
      </c>
      <c r="B15" s="6" t="n">
        <v>82000</v>
      </c>
      <c r="C15" s="4" t="inlineStr">
        <is>
          <t>0.03%</t>
        </is>
      </c>
      <c r="D15" s="6" t="n">
        <v>24.6</v>
      </c>
      <c r="E15" s="4" t="inlineStr">
        <is>
          <t>0.05%</t>
        </is>
      </c>
      <c r="F15" s="6" t="n">
        <v>41</v>
      </c>
      <c r="G15" s="4" t="inlineStr">
        <is>
          <t>—</t>
        </is>
      </c>
      <c r="H15" s="4" t="n">
        <v>0</v>
      </c>
      <c r="I15" s="6" t="n">
        <v>65.59999999999999</v>
      </c>
      <c r="J15" s="4" t="inlineStr">
        <is>
          <t>佣金最低5元；卖出计印花税</t>
        </is>
      </c>
    </row>
    <row r="16">
      <c r="A16" s="9" t="inlineStr">
        <is>
          <t>合计(全部成交)</t>
        </is>
      </c>
      <c r="B16" s="10" t="n">
        <v>299314</v>
      </c>
      <c r="C16" s="9" t="n"/>
      <c r="D16" s="9" t="n"/>
      <c r="E16" s="9" t="n"/>
      <c r="F16" s="9" t="n"/>
      <c r="G16" s="9" t="n"/>
      <c r="H16" s="9" t="n"/>
      <c r="I16" s="10" t="n">
        <v>243.67</v>
      </c>
      <c r="J16" s="9" t="n"/>
    </row>
    <row r="17"/>
    <row r="18">
      <c r="A18" s="2" t="inlineStr">
        <is>
          <t>三、情景A：全部正常成交（R1+R2+R3+R4均执行）</t>
        </is>
      </c>
    </row>
    <row r="19">
      <c r="A19" s="3" t="inlineStr">
        <is>
          <t>指标</t>
        </is>
      </c>
      <c r="B19" s="3" t="inlineStr">
        <is>
          <t>调整前(转出后)</t>
        </is>
      </c>
      <c r="C19" s="3" t="inlineStr">
        <is>
          <t>调整后</t>
        </is>
      </c>
      <c r="D19" s="3" t="inlineStr">
        <is>
          <t>变化</t>
        </is>
      </c>
      <c r="E19" s="3" t="inlineStr">
        <is>
          <t>约束状态</t>
        </is>
      </c>
    </row>
    <row r="20">
      <c r="A20" s="4" t="inlineStr">
        <is>
          <t>总资产(元)</t>
        </is>
      </c>
      <c r="B20" s="4" t="n">
        <v>982660</v>
      </c>
      <c r="C20" s="6" t="n">
        <v>982416.33</v>
      </c>
      <c r="D20" s="6" t="n">
        <v>-243.67</v>
      </c>
      <c r="E20" s="4" t="inlineStr">
        <is>
          <t>—</t>
        </is>
      </c>
    </row>
    <row r="21">
      <c r="A21" s="4" t="inlineStr">
        <is>
          <t>人民币现金(元)</t>
        </is>
      </c>
      <c r="B21" s="4" t="n">
        <v>92500</v>
      </c>
      <c r="C21" s="6" t="n">
        <v>391570.33</v>
      </c>
      <c r="D21" s="6" t="n">
        <v>299070.33</v>
      </c>
      <c r="E21" s="4" t="inlineStr">
        <is>
          <t>—</t>
        </is>
      </c>
    </row>
    <row r="22">
      <c r="A22" s="4" t="inlineStr">
        <is>
          <t>现金比例</t>
        </is>
      </c>
      <c r="B22" s="7" t="n">
        <v>0.09413225327173183</v>
      </c>
      <c r="C22" s="7" t="n">
        <v>0.398578805784219</v>
      </c>
      <c r="D22" s="7" t="n">
        <v>0.3044465525124872</v>
      </c>
      <c r="E22" s="4" t="inlineStr">
        <is>
          <t>≥10% ✓</t>
        </is>
      </c>
    </row>
    <row r="23">
      <c r="A23" s="4" t="inlineStr">
        <is>
          <t>P05市值(元)</t>
        </is>
      </c>
      <c r="B23" s="6" t="n">
        <v>210000</v>
      </c>
      <c r="C23" s="4" t="n">
        <v>189000</v>
      </c>
      <c r="D23" s="6" t="n">
        <v>-21000</v>
      </c>
      <c r="E23" s="4" t="inlineStr">
        <is>
          <t>—</t>
        </is>
      </c>
    </row>
    <row r="24">
      <c r="A24" s="4" t="inlineStr">
        <is>
          <t>P05权重</t>
        </is>
      </c>
      <c r="B24" s="7" t="n">
        <v>0.2137056560763642</v>
      </c>
      <c r="C24" s="7" t="n">
        <v>0.1923827963746604</v>
      </c>
      <c r="D24" s="7" t="n">
        <v>-0.02132285970170375</v>
      </c>
      <c r="E24" s="4" t="inlineStr">
        <is>
          <t>≤20% ✓</t>
        </is>
      </c>
    </row>
    <row r="25">
      <c r="A25" s="4" t="inlineStr">
        <is>
          <t>科技主题市值(元)</t>
        </is>
      </c>
      <c r="B25" s="6" t="n">
        <v>689960</v>
      </c>
      <c r="C25" s="6" t="n">
        <v>390646</v>
      </c>
      <c r="D25" s="6" t="n">
        <v>-299314</v>
      </c>
      <c r="E25" s="4" t="inlineStr">
        <is>
          <t>—</t>
        </is>
      </c>
    </row>
    <row r="26">
      <c r="A26" s="4" t="inlineStr">
        <is>
          <t>科技主题权重</t>
        </is>
      </c>
      <c r="B26" s="7" t="n">
        <v>0.702135021268801</v>
      </c>
      <c r="C26" s="7" t="n">
        <v>0.3976379358337333</v>
      </c>
      <c r="D26" s="7" t="n">
        <v>-0.3044970854350677</v>
      </c>
      <c r="E26" s="4" t="inlineStr">
        <is>
          <t>≤40% ✓</t>
        </is>
      </c>
    </row>
    <row r="27">
      <c r="A27" s="4" t="inlineStr">
        <is>
          <t>高风险市值(元)</t>
        </is>
      </c>
      <c r="B27" s="6" t="n">
        <v>549200</v>
      </c>
      <c r="C27" s="6" t="n">
        <v>271000</v>
      </c>
      <c r="D27" s="6" t="n">
        <v>-278200</v>
      </c>
      <c r="E27" s="4" t="inlineStr">
        <is>
          <t>—</t>
        </is>
      </c>
    </row>
    <row r="28">
      <c r="A28" s="4" t="inlineStr">
        <is>
          <t>高风险权重</t>
        </is>
      </c>
      <c r="B28" s="7" t="n">
        <v>0.5588911729387581</v>
      </c>
      <c r="C28" s="7" t="n">
        <v>0.2758504646430316</v>
      </c>
      <c r="D28" s="7" t="n">
        <v>-0.2830407082957265</v>
      </c>
      <c r="E28" s="4" t="inlineStr">
        <is>
          <t>≤45% ✓</t>
        </is>
      </c>
    </row>
    <row r="29">
      <c r="A29" s="4" t="inlineStr">
        <is>
          <t>外币市值(元)</t>
        </is>
      </c>
      <c r="B29" s="6" t="n">
        <v>162300</v>
      </c>
      <c r="C29" s="6" t="n">
        <v>141186</v>
      </c>
      <c r="D29" s="6" t="n">
        <v>-21114</v>
      </c>
      <c r="E29" s="4" t="inlineStr">
        <is>
          <t>—</t>
        </is>
      </c>
    </row>
    <row r="30">
      <c r="A30" s="4" t="inlineStr">
        <is>
          <t>外币权重</t>
        </is>
      </c>
      <c r="B30" s="7" t="n">
        <v>0.16516394276759</v>
      </c>
      <c r="C30" s="7" t="n">
        <v>0.1437130025870519</v>
      </c>
      <c r="D30" s="7" t="n">
        <v>-0.02145094018053811</v>
      </c>
      <c r="E30" s="4" t="inlineStr">
        <is>
          <t>≤15% ✓</t>
        </is>
      </c>
    </row>
    <row r="31"/>
    <row r="32">
      <c r="A32" s="2" t="inlineStr">
        <is>
          <t>四、情景B：P02无法成交（继续跌停，R3不执行，R1+R2+R4执行）</t>
        </is>
      </c>
    </row>
    <row r="33">
      <c r="A33" s="3" t="inlineStr">
        <is>
          <t>指标</t>
        </is>
      </c>
      <c r="B33" s="3" t="inlineStr">
        <is>
          <t>调整前(转出后)</t>
        </is>
      </c>
      <c r="C33" s="3" t="inlineStr">
        <is>
          <t>调整后</t>
        </is>
      </c>
      <c r="D33" s="3" t="inlineStr">
        <is>
          <t>变化</t>
        </is>
      </c>
      <c r="E33" s="3" t="inlineStr">
        <is>
          <t>约束状态</t>
        </is>
      </c>
    </row>
    <row r="34">
      <c r="A34" s="4" t="inlineStr">
        <is>
          <t>总资产(元)</t>
        </is>
      </c>
      <c r="B34" s="4" t="n">
        <v>982660</v>
      </c>
      <c r="C34" s="6" t="n">
        <v>982556.49</v>
      </c>
      <c r="D34" s="6" t="n">
        <v>-103.51</v>
      </c>
      <c r="E34" s="4" t="inlineStr">
        <is>
          <t>—</t>
        </is>
      </c>
    </row>
    <row r="35">
      <c r="A35" s="4" t="inlineStr">
        <is>
          <t>人民币现金(元)</t>
        </is>
      </c>
      <c r="B35" s="4" t="n">
        <v>92500</v>
      </c>
      <c r="C35" s="6" t="n">
        <v>216510.49</v>
      </c>
      <c r="D35" s="6" t="n">
        <v>124010.49</v>
      </c>
      <c r="E35" s="4" t="inlineStr">
        <is>
          <t>—</t>
        </is>
      </c>
    </row>
    <row r="36">
      <c r="A36" s="4" t="inlineStr">
        <is>
          <t>现金比例</t>
        </is>
      </c>
      <c r="B36" s="7" t="n">
        <v>0.09413225327173183</v>
      </c>
      <c r="C36" s="7" t="n">
        <v>0.2203542382396934</v>
      </c>
      <c r="D36" s="7" t="n">
        <v>0.1262219849679616</v>
      </c>
      <c r="E36" s="15" t="inlineStr">
        <is>
          <t>≥10% ✓</t>
        </is>
      </c>
    </row>
    <row r="37">
      <c r="A37" s="4" t="inlineStr">
        <is>
          <t>P05权重</t>
        </is>
      </c>
      <c r="B37" s="7" t="n">
        <v>0.2137056560763642</v>
      </c>
      <c r="C37" s="7" t="n">
        <v>0.1923553532982327</v>
      </c>
      <c r="D37" s="7" t="n">
        <v>-0.02135030277813149</v>
      </c>
      <c r="E37" s="15" t="inlineStr">
        <is>
          <t>≤20% ✓</t>
        </is>
      </c>
    </row>
    <row r="38">
      <c r="A38" s="4" t="inlineStr">
        <is>
          <t>P02市值(元)</t>
        </is>
      </c>
      <c r="B38" s="6" t="n">
        <v>175200</v>
      </c>
      <c r="C38" s="6" t="n">
        <v>175200</v>
      </c>
      <c r="D38" s="4" t="n">
        <v>0</v>
      </c>
      <c r="E38" s="4" t="inlineStr">
        <is>
          <t>继续持有，无法卖出</t>
        </is>
      </c>
    </row>
    <row r="39">
      <c r="A39" s="4" t="inlineStr">
        <is>
          <t>科技主题权重</t>
        </is>
      </c>
      <c r="B39" s="7" t="n">
        <v>0.702135021268801</v>
      </c>
      <c r="C39" s="7" t="n">
        <v>0.5758915727110675</v>
      </c>
      <c r="D39" s="7" t="n">
        <v>-0.1262434485577335</v>
      </c>
      <c r="E39" s="12" t="inlineStr">
        <is>
          <t>57.59% 仍超限</t>
        </is>
      </c>
    </row>
    <row r="40">
      <c r="A40" s="4" t="inlineStr">
        <is>
          <t>高风险权重</t>
        </is>
      </c>
      <c r="B40" s="7" t="n">
        <v>0.5588911729387581</v>
      </c>
      <c r="C40" s="7" t="n">
        <v>0.4541214742945577</v>
      </c>
      <c r="D40" s="7" t="n">
        <v>-0.1047696986442004</v>
      </c>
      <c r="E40" s="12" t="inlineStr">
        <is>
          <t>45.41% 仍超限</t>
        </is>
      </c>
    </row>
    <row r="41">
      <c r="A41" s="4" t="inlineStr">
        <is>
          <t>外币权重</t>
        </is>
      </c>
      <c r="B41" s="7" t="n">
        <v>0.16516394276759</v>
      </c>
      <c r="C41" s="7" t="n">
        <v>0.143692502173356</v>
      </c>
      <c r="D41" s="7" t="n">
        <v>-0.02147144059423403</v>
      </c>
      <c r="E41" s="15" t="inlineStr">
        <is>
          <t>≤15% ✓</t>
        </is>
      </c>
    </row>
    <row r="42"/>
    <row r="43" ht="45" customHeight="1">
      <c r="A43" s="17" t="inlineStr">
        <is>
          <t>情景B说明：P02继续跌停时，即使卖出P01 2500股，科技主题仍约57.59%、高风险仍约45.41%，二者均无法在转出当日恢复合规。应将P02列入后续交易日优先减持清单，一旦打开跌停立即卖出；同时可考虑继续减持P01或P05以加速高风险约束达标，但需评估亏损实现和集中度风险。P04停牌不参与当日操作。</t>
        </is>
      </c>
    </row>
    <row r="44"/>
    <row r="45">
      <c r="A45" s="2" t="inlineStr">
        <is>
          <t>五、情景C：风险继续扩大（价格下跌/流动性恶化）</t>
        </is>
      </c>
    </row>
    <row r="46">
      <c r="A46" s="3" t="inlineStr">
        <is>
          <t>触发条件</t>
        </is>
      </c>
      <c r="B46" s="3" t="inlineStr">
        <is>
          <t>应对规则</t>
        </is>
      </c>
      <c r="C46" s="3" t="inlineStr">
        <is>
          <t>操作</t>
        </is>
      </c>
      <c r="D46" s="3" t="inlineStr">
        <is>
          <t>优先级</t>
        </is>
      </c>
    </row>
    <row r="47">
      <c r="A47" s="4" t="inlineStr">
        <is>
          <t>P02连续3个交易日跌停未打开</t>
        </is>
      </c>
      <c r="B47" s="4" t="inlineStr">
        <is>
          <t>启动流动性应急，卖出高流动性非超限持仓补充现金</t>
        </is>
      </c>
      <c r="C47" s="4" t="inlineStr">
        <is>
          <t>卖出P06（红利ETF，日均5.6亿）不超过5000份，维持现金比例≥15%</t>
        </is>
      </c>
      <c r="D47" s="4" t="inlineStr">
        <is>
          <t>高</t>
        </is>
      </c>
    </row>
    <row r="48">
      <c r="A48" s="4" t="inlineStr">
        <is>
          <t>科技板块整体下跌&gt;5%导致浮亏扩大</t>
        </is>
      </c>
      <c r="B48" s="4" t="inlineStr">
        <is>
          <t>暂停新增买入，加速可卖科技头寸减持</t>
        </is>
      </c>
      <c r="C48" s="4" t="inlineStr">
        <is>
          <t>若P05/P01可正常交易，按R1/R4规则继续减持，不等待反弹</t>
        </is>
      </c>
      <c r="D48" s="4" t="inlineStr">
        <is>
          <t>高</t>
        </is>
      </c>
    </row>
    <row r="49">
      <c r="A49" s="4" t="inlineStr">
        <is>
          <t>P04复牌后补跌&gt;10%</t>
        </is>
      </c>
      <c r="B49" s="4" t="inlineStr">
        <is>
          <t>复牌首日不急于卖出，观察成交量；若连续两日放量下跌则减持</t>
        </is>
      </c>
      <c r="C49" s="4" t="inlineStr">
        <is>
          <t>复牌后第二日若仍下跌，卖出不超过3000股P04</t>
        </is>
      </c>
      <c r="D49" s="4" t="inlineStr">
        <is>
          <t>中</t>
        </is>
      </c>
    </row>
    <row r="50">
      <c r="A50" s="4" t="inlineStr">
        <is>
          <t>港币/美元汇率波动导致外币暴露回升&gt;15%</t>
        </is>
      </c>
      <c r="B50" s="4" t="inlineStr">
        <is>
          <t>重新计算外币折算市值，必要时追加减持P07</t>
        </is>
      </c>
      <c r="C50" s="4" t="inlineStr">
        <is>
          <t>卖出额外500份P07（1手）</t>
        </is>
      </c>
      <c r="D50" s="4" t="inlineStr">
        <is>
          <t>中</t>
        </is>
      </c>
    </row>
    <row r="51">
      <c r="A51" s="4" t="inlineStr">
        <is>
          <t>现金比例因市场下跌被动升至&gt;30%</t>
        </is>
      </c>
      <c r="B51" s="4" t="inlineStr">
        <is>
          <t>现金过高不符合"稳健增值"目标，可在约束合规后逐步再配置</t>
        </is>
      </c>
      <c r="C51" s="4" t="inlineStr">
        <is>
          <t>仅在所有约束达标后，以不超过单日5%总资产的节奏再配置防御性资产</t>
        </is>
      </c>
      <c r="D51" s="4" t="inlineStr">
        <is>
          <t>低</t>
        </is>
      </c>
    </row>
    <row r="52"/>
    <row r="53"/>
    <row r="54" ht="40" customHeight="1">
      <c r="A54" s="19" t="inlineStr">
        <is>
          <t>免责声明：本工作簿仅用于调仓前分析与交易纪律设计，所有数量、价格和费用均为基于附件截点数据的测算，不代表任何交易已经下达或执行。实际成交价格、费用和可交易数量以交易系统实时确认为准。本分析不保证回本或保证收益，调仓决策需结合实时行情和客户最新授权。</t>
        </is>
      </c>
    </row>
  </sheetData>
  <mergeCells count="3">
    <mergeCell ref="A1:J1"/>
    <mergeCell ref="A43:J43"/>
    <mergeCell ref="A54:J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2026-09-11T09:45:26Z</dcterms:created>
  <dcterms:modified xmlns:dcterms="http://purl.org/dc/terms/" xmlns:xsi="http://www.w3.org/2001/XMLSchema-instance" xsi:type="dcterms:W3CDTF">2026-09-11T09:45:26Z</dcterms:modified>
</cp:coreProperties>
</file>