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快照" sheetId="1" state="visible" r:id="rId1"/>
    <sheet xmlns:r="http://schemas.openxmlformats.org/officeDocument/2006/relationships" name="勾稽与盈亏" sheetId="2" state="visible" r:id="rId2"/>
    <sheet xmlns:r="http://schemas.openxmlformats.org/officeDocument/2006/relationships" name="交易日历" sheetId="3" state="visible" r:id="rId3"/>
    <sheet xmlns:r="http://schemas.openxmlformats.org/officeDocument/2006/relationships" name="硬约束状态" sheetId="4" state="visible" r:id="rId4"/>
    <sheet xmlns:r="http://schemas.openxmlformats.org/officeDocument/2006/relationships" name="情景压力" sheetId="5" state="visible" r:id="rId5"/>
    <sheet xmlns:r="http://schemas.openxmlformats.org/officeDocument/2006/relationships" name="交易明细" sheetId="6" state="visible" r:id="rId6"/>
    <sheet xmlns:r="http://schemas.openxmlformats.org/officeDocument/2006/relationships" name="条件规则" sheetId="7" state="visible" r:id="rId7"/>
    <sheet xmlns:r="http://schemas.openxmlformats.org/officeDocument/2006/relationships" name="核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来源</t>
        </is>
      </c>
    </row>
    <row r="2">
      <c r="A2" s="2" t="inlineStr">
        <is>
          <t>截点</t>
        </is>
      </c>
      <c r="B2" s="2" t="inlineStr">
        <is>
          <t>2026-08-26 10:30</t>
        </is>
      </c>
      <c r="C2" s="2" t="inlineStr">
        <is>
          <t>持仓记录</t>
        </is>
      </c>
    </row>
    <row r="3">
      <c r="A3" s="2" t="inlineStr">
        <is>
          <t>盘中参考价</t>
        </is>
      </c>
      <c r="B3" s="2" t="n">
        <v>31.4</v>
      </c>
      <c r="C3" s="2" t="inlineStr">
        <is>
          <t>xlsx价格记录</t>
        </is>
      </c>
    </row>
    <row r="4">
      <c r="A4" s="2" t="inlineStr">
        <is>
          <t>持股(股)</t>
        </is>
      </c>
      <c r="B4" s="2" t="n">
        <v>28000</v>
      </c>
      <c r="C4" s="2" t="inlineStr">
        <is>
          <t>持仓记录</t>
        </is>
      </c>
    </row>
    <row r="5">
      <c r="A5" s="2" t="inlineStr">
        <is>
          <t>证券市值</t>
        </is>
      </c>
      <c r="B5" s="2">
        <f>B4*B3</f>
        <v/>
      </c>
      <c r="C5" s="2" t="inlineStr">
        <is>
          <t>计算</t>
        </is>
      </c>
    </row>
    <row r="6">
      <c r="A6" s="2" t="inlineStr">
        <is>
          <t>现金</t>
        </is>
      </c>
      <c r="B6" s="2" t="n">
        <v>150000</v>
      </c>
      <c r="C6" s="2" t="inlineStr">
        <is>
          <t>持仓记录</t>
        </is>
      </c>
    </row>
    <row r="7">
      <c r="A7" s="2" t="inlineStr">
        <is>
          <t>总资产</t>
        </is>
      </c>
      <c r="B7" s="2">
        <f>B5+B6</f>
        <v/>
      </c>
      <c r="C7" s="2" t="inlineStr">
        <is>
          <t>计算</t>
        </is>
      </c>
    </row>
    <row r="8">
      <c r="A8" s="2" t="inlineStr">
        <is>
          <t>佣金率</t>
        </is>
      </c>
      <c r="B8" s="2" t="n">
        <v>0.0003</v>
      </c>
      <c r="C8" s="2" t="inlineStr">
        <is>
          <t>持仓记录</t>
        </is>
      </c>
    </row>
    <row r="9">
      <c r="A9" s="2" t="inlineStr">
        <is>
          <t>印花税率</t>
        </is>
      </c>
      <c r="B9" s="2" t="n">
        <v>0.0005</v>
      </c>
      <c r="C9" s="2" t="inlineStr">
        <is>
          <t>持仓记录</t>
        </is>
      </c>
    </row>
    <row r="10">
      <c r="A10" s="2" t="inlineStr">
        <is>
          <t>最低佣金</t>
        </is>
      </c>
      <c r="B10" s="2" t="n">
        <v>5</v>
      </c>
      <c r="C10" s="2" t="inlineStr">
        <is>
          <t>持仓记录</t>
        </is>
      </c>
    </row>
    <row r="11">
      <c r="A11" s="2" t="inlineStr">
        <is>
          <t>第一笔教育款</t>
        </is>
      </c>
      <c r="B11" s="2" t="n">
        <v>120000</v>
      </c>
      <c r="C11" s="2" t="inlineStr">
        <is>
          <t>事项日历</t>
        </is>
      </c>
    </row>
    <row r="12">
      <c r="A12" s="2" t="inlineStr">
        <is>
          <t>第二笔教育款</t>
        </is>
      </c>
      <c r="B12" s="2" t="n">
        <v>100000</v>
      </c>
      <c r="C12" s="2" t="inlineStr">
        <is>
          <t>事项日历</t>
        </is>
      </c>
    </row>
    <row r="13">
      <c r="A13" s="2" t="inlineStr">
        <is>
          <t>期末最低现金留存</t>
        </is>
      </c>
      <c r="B13" s="2" t="n">
        <v>80000</v>
      </c>
      <c r="C13" s="2" t="inlineStr">
        <is>
          <t>持仓记录</t>
        </is>
      </c>
    </row>
    <row r="14">
      <c r="A14" s="2" t="inlineStr">
        <is>
          <t>单票集中度上限</t>
        </is>
      </c>
      <c r="B14" s="2" t="n">
        <v>0.6</v>
      </c>
      <c r="C14" s="2" t="inlineStr">
        <is>
          <t>风险要求</t>
        </is>
      </c>
    </row>
    <row r="15">
      <c r="A15" s="2" t="inlineStr">
        <is>
          <t>40%线收盘价</t>
        </is>
      </c>
      <c r="B15" s="2" t="n">
        <v>27.5</v>
      </c>
      <c r="C15" s="2" t="inlineStr">
        <is>
          <t>风险要求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股数</t>
        </is>
      </c>
      <c r="C1" s="1" t="inlineStr">
        <is>
          <t>单位成本</t>
        </is>
      </c>
      <c r="D1" s="1" t="inlineStr">
        <is>
          <t>成本金额</t>
        </is>
      </c>
      <c r="E1" s="1" t="inlineStr">
        <is>
          <t>现价</t>
        </is>
      </c>
      <c r="F1" s="1" t="inlineStr">
        <is>
          <t>浮动盈亏</t>
        </is>
      </c>
    </row>
    <row r="2">
      <c r="A2" s="2" t="inlineStr">
        <is>
          <t>A</t>
        </is>
      </c>
      <c r="B2" s="2" t="n">
        <v>12000</v>
      </c>
      <c r="C2" s="2" t="n">
        <v>18.2</v>
      </c>
      <c r="D2" s="2">
        <f>B2*C2</f>
        <v/>
      </c>
      <c r="E2" s="2" t="n">
        <v>31.4</v>
      </c>
      <c r="F2" s="2">
        <f>B2*E2-D2</f>
        <v/>
      </c>
    </row>
    <row r="3">
      <c r="A3" s="2" t="inlineStr">
        <is>
          <t>B</t>
        </is>
      </c>
      <c r="B3" s="2" t="n">
        <v>8000</v>
      </c>
      <c r="C3" s="2" t="n">
        <v>27.6</v>
      </c>
      <c r="D3" s="2">
        <f>B3*C3</f>
        <v/>
      </c>
      <c r="E3" s="2" t="n">
        <v>31.4</v>
      </c>
      <c r="F3" s="2">
        <f>B3*E3-D3</f>
        <v/>
      </c>
    </row>
    <row r="4">
      <c r="A4" s="2" t="inlineStr">
        <is>
          <t>C</t>
        </is>
      </c>
      <c r="B4" s="2" t="n">
        <v>8000</v>
      </c>
      <c r="C4" s="2" t="n">
        <v>34.1</v>
      </c>
      <c r="D4" s="2">
        <f>B4*C4</f>
        <v/>
      </c>
      <c r="E4" s="2" t="n">
        <v>31.4</v>
      </c>
      <c r="F4" s="2">
        <f>B4*E4-D4</f>
        <v/>
      </c>
    </row>
    <row r="5">
      <c r="A5" s="2" t="inlineStr">
        <is>
          <t>合计</t>
        </is>
      </c>
      <c r="B5" s="2">
        <f>SUM(B2:B4)</f>
        <v/>
      </c>
      <c r="C5" s="2" t="inlineStr"/>
      <c r="D5" s="2">
        <f>SUM(D2:D4)</f>
        <v/>
      </c>
      <c r="E5" s="2" t="inlineStr"/>
      <c r="F5" s="2">
        <f>SUM(F2:F4)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日历日</t>
        </is>
      </c>
      <c r="B1" s="1" t="inlineStr">
        <is>
          <t>星期</t>
        </is>
      </c>
      <c r="C1" s="1" t="inlineStr">
        <is>
          <t>是否交易日</t>
        </is>
      </c>
      <c r="D1" s="1" t="inlineStr">
        <is>
          <t>资金/支付说明</t>
        </is>
      </c>
    </row>
    <row r="2">
      <c r="A2" s="2" t="inlineStr">
        <is>
          <t>2026-08-26</t>
        </is>
      </c>
      <c r="B2" s="2" t="inlineStr">
        <is>
          <t>周三</t>
        </is>
      </c>
      <c r="C2" s="2" t="inlineStr">
        <is>
          <t>是</t>
        </is>
      </c>
      <c r="D2" s="2" t="inlineStr">
        <is>
          <t>截点；C当日买2000不可卖</t>
        </is>
      </c>
    </row>
    <row r="3">
      <c r="A3" s="2" t="inlineStr">
        <is>
          <t>2026-08-27</t>
        </is>
      </c>
      <c r="B3" s="2" t="inlineStr">
        <is>
          <t>周四</t>
        </is>
      </c>
      <c r="C3" s="2" t="inlineStr">
        <is>
          <t>是</t>
        </is>
      </c>
      <c r="D3" s="2" t="inlineStr">
        <is>
          <t>C的2000股解冻，可卖22000股</t>
        </is>
      </c>
    </row>
    <row r="4">
      <c r="A4" s="2" t="inlineStr">
        <is>
          <t>2026-09-18</t>
        </is>
      </c>
      <c r="B4" s="2" t="inlineStr">
        <is>
          <t>周五</t>
        </is>
      </c>
      <c r="C4" s="2" t="inlineStr">
        <is>
          <t>是</t>
        </is>
      </c>
      <c r="D4" s="2" t="inlineStr">
        <is>
          <t>业绩说明会</t>
        </is>
      </c>
    </row>
    <row r="5">
      <c r="A5" s="2" t="inlineStr">
        <is>
          <t>2026-10-30</t>
        </is>
      </c>
      <c r="B5" s="2" t="inlineStr">
        <is>
          <t>周五</t>
        </is>
      </c>
      <c r="C5" s="2" t="inlineStr">
        <is>
          <t>是</t>
        </is>
      </c>
      <c r="D5" s="2" t="inlineStr">
        <is>
          <t>支付第一笔120000</t>
        </is>
      </c>
    </row>
    <row r="6">
      <c r="A6" s="2" t="inlineStr">
        <is>
          <t>2026-11-13</t>
        </is>
      </c>
      <c r="B6" s="2" t="inlineStr">
        <is>
          <t>周五</t>
        </is>
      </c>
      <c r="C6" s="2" t="inlineStr">
        <is>
          <t>是</t>
        </is>
      </c>
      <c r="D6" s="2" t="inlineStr">
        <is>
          <t>最迟行动日</t>
        </is>
      </c>
    </row>
    <row r="7">
      <c r="A7" s="2" t="inlineStr">
        <is>
          <t>2026-11-15</t>
        </is>
      </c>
      <c r="B7" s="2" t="inlineStr">
        <is>
          <t>周日</t>
        </is>
      </c>
      <c r="C7" s="2" t="inlineStr">
        <is>
          <t>否</t>
        </is>
      </c>
      <c r="D7" s="2" t="inlineStr">
        <is>
          <t>支付第二笔100000</t>
        </is>
      </c>
    </row>
    <row r="8">
      <c r="A8" s="2" t="inlineStr">
        <is>
          <t>2026-11-30</t>
        </is>
      </c>
      <c r="B8" s="2" t="inlineStr">
        <is>
          <t>周一</t>
        </is>
      </c>
      <c r="C8" s="2" t="inlineStr">
        <is>
          <t>是</t>
        </is>
      </c>
      <c r="D8" s="2" t="inlineStr">
        <is>
          <t>质押解除申请日(不预设)</t>
        </is>
      </c>
    </row>
    <row r="9">
      <c r="A9" s="2" t="inlineStr">
        <is>
          <t>2026-12-08</t>
        </is>
      </c>
      <c r="B9" s="2" t="inlineStr">
        <is>
          <t>周二</t>
        </is>
      </c>
      <c r="C9" s="2" t="inlineStr">
        <is>
          <t>是</t>
        </is>
      </c>
      <c r="D9" s="2" t="inlineStr">
        <is>
          <t>限售解禁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约束</t>
        </is>
      </c>
      <c r="B1" s="1" t="inlineStr">
        <is>
          <t>阈值</t>
        </is>
      </c>
      <c r="C1" s="1" t="inlineStr">
        <is>
          <t>当前值</t>
        </is>
      </c>
      <c r="D1" s="1" t="inlineStr">
        <is>
          <t>达标反解</t>
        </is>
      </c>
      <c r="E1" s="1" t="inlineStr">
        <is>
          <t>主方案后</t>
        </is>
      </c>
      <c r="F1" s="1" t="inlineStr">
        <is>
          <t>判定</t>
        </is>
      </c>
      <c r="G1" s="1" t="inlineStr">
        <is>
          <t>规则号</t>
        </is>
      </c>
    </row>
    <row r="2">
      <c r="A2" s="2" t="inlineStr">
        <is>
          <t>单票集中度</t>
        </is>
      </c>
      <c r="B2" s="2" t="inlineStr">
        <is>
          <t>&lt;=60%</t>
        </is>
      </c>
      <c r="C2" s="2" t="inlineStr">
        <is>
          <t>85.43%</t>
        </is>
      </c>
      <c r="D2" s="2" t="inlineStr">
        <is>
          <t>卖12600股</t>
        </is>
      </c>
      <c r="E2" s="2" t="inlineStr">
        <is>
          <t>59.78%</t>
        </is>
      </c>
      <c r="F2" s="2" t="inlineStr">
        <is>
          <t>最紧/绑定</t>
        </is>
      </c>
      <c r="G2" s="2" t="inlineStr">
        <is>
          <t>R1-R3</t>
        </is>
      </c>
    </row>
    <row r="3">
      <c r="A3" s="2" t="inlineStr">
        <is>
          <t>期末现金</t>
        </is>
      </c>
      <c r="B3" s="2" t="inlineStr">
        <is>
          <t>&gt;=80000</t>
        </is>
      </c>
      <c r="C3" s="2" t="inlineStr">
        <is>
          <t>150000</t>
        </is>
      </c>
      <c r="D3" s="2" t="inlineStr">
        <is>
          <t>净回笼&gt;=150000</t>
        </is>
      </c>
      <c r="E3" s="2" t="inlineStr">
        <is>
          <t>325323</t>
        </is>
      </c>
      <c r="F3" s="2" t="inlineStr">
        <is>
          <t>达标</t>
        </is>
      </c>
      <c r="G3" s="2" t="inlineStr">
        <is>
          <t>R1-R3</t>
        </is>
      </c>
    </row>
    <row r="4">
      <c r="A4" s="2" t="inlineStr">
        <is>
          <t>40%风险线</t>
        </is>
      </c>
      <c r="B4" s="2" t="inlineStr">
        <is>
          <t>连续2日&lt;27.50后5日内&lt;40%</t>
        </is>
      </c>
      <c r="C4" s="2" t="inlineStr">
        <is>
          <t>未触发</t>
        </is>
      </c>
      <c r="D4" s="2" t="inlineStr">
        <is>
          <t>触发后加速</t>
        </is>
      </c>
      <c r="E4" s="2" t="inlineStr">
        <is>
          <t>触发时算</t>
        </is>
      </c>
      <c r="F4" s="2" t="inlineStr">
        <is>
          <t>监控</t>
        </is>
      </c>
      <c r="G4" s="2" t="inlineStr">
        <is>
          <t>R4</t>
        </is>
      </c>
    </row>
    <row r="5">
      <c r="A5" s="2" t="inlineStr">
        <is>
          <t>单日卖出</t>
        </is>
      </c>
      <c r="B5" s="2" t="inlineStr">
        <is>
          <t>&lt;=6000股/日</t>
        </is>
      </c>
      <c r="C5" s="2" t="inlineStr">
        <is>
          <t>-</t>
        </is>
      </c>
      <c r="D5" s="2" t="inlineStr">
        <is>
          <t>每笔&lt;=6000</t>
        </is>
      </c>
      <c r="E5" s="2" t="inlineStr">
        <is>
          <t>各笔2000-6000</t>
        </is>
      </c>
      <c r="F5" s="2" t="inlineStr">
        <is>
          <t>遵守</t>
        </is>
      </c>
      <c r="G5" s="2" t="inlineStr">
        <is>
          <t>全部</t>
        </is>
      </c>
    </row>
    <row r="6">
      <c r="A6" s="2" t="inlineStr">
        <is>
          <t>质押股</t>
        </is>
      </c>
      <c r="B6" s="2" t="inlineStr">
        <is>
          <t>不预设解除</t>
        </is>
      </c>
      <c r="C6" s="2" t="inlineStr">
        <is>
          <t>6000锁定</t>
        </is>
      </c>
      <c r="D6" s="2" t="inlineStr">
        <is>
          <t>11/30前不计</t>
        </is>
      </c>
      <c r="E6" s="2" t="inlineStr">
        <is>
          <t>不动用</t>
        </is>
      </c>
      <c r="F6" s="2" t="inlineStr">
        <is>
          <t>遵守</t>
        </is>
      </c>
      <c r="G6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触发</t>
        </is>
      </c>
      <c r="C1" s="1" t="inlineStr">
        <is>
          <t>参考价</t>
        </is>
      </c>
      <c r="D1" s="1" t="inlineStr">
        <is>
          <t>日成交量估计</t>
        </is>
      </c>
      <c r="E1" s="1" t="inlineStr">
        <is>
          <t>所需累计卖出</t>
        </is>
      </c>
      <c r="F1" s="1" t="inlineStr">
        <is>
          <t>期末占比</t>
        </is>
      </c>
      <c r="G1" s="1" t="inlineStr">
        <is>
          <t>期末现金</t>
        </is>
      </c>
    </row>
    <row r="2">
      <c r="A2" s="2" t="inlineStr">
        <is>
          <t>S01正常</t>
        </is>
      </c>
      <c r="B2" s="2" t="inlineStr">
        <is>
          <t>29.80-33.60</t>
        </is>
      </c>
      <c r="C2" s="2" t="n">
        <v>31.4</v>
      </c>
      <c r="D2" s="2" t="n">
        <v>6000</v>
      </c>
      <c r="E2" s="2" t="n">
        <v>12600</v>
      </c>
      <c r="F2" s="2" t="inlineStr">
        <is>
          <t>59.78%</t>
        </is>
      </c>
      <c r="G2" s="2" t="n">
        <v>325323</v>
      </c>
    </row>
    <row r="3">
      <c r="A3" s="2" t="inlineStr">
        <is>
          <t>S02破位</t>
        </is>
      </c>
      <c r="B3" s="2" t="inlineStr">
        <is>
          <t>收盘&lt;29.80</t>
        </is>
      </c>
      <c r="C3" s="2" t="n">
        <v>29.2</v>
      </c>
      <c r="D3" s="2" t="n">
        <v>4000</v>
      </c>
      <c r="E3" s="2" t="n">
        <v>12700</v>
      </c>
      <c r="F3" s="2" t="inlineStr">
        <is>
          <t>59.78%</t>
        </is>
      </c>
      <c r="G3" s="2" t="n">
        <v>300543</v>
      </c>
    </row>
    <row r="4">
      <c r="A4" s="2" t="inlineStr">
        <is>
          <t>S03回升</t>
        </is>
      </c>
      <c r="B4" s="2" t="inlineStr">
        <is>
          <t>收盘&gt;=33.60</t>
        </is>
      </c>
      <c r="C4" s="2" t="n">
        <v>34</v>
      </c>
      <c r="D4" s="2" t="n">
        <v>8000</v>
      </c>
      <c r="E4" s="2" t="n">
        <v>12500</v>
      </c>
      <c r="F4" s="2" t="inlineStr">
        <is>
          <t>59.77%</t>
        </is>
      </c>
      <c r="G4" s="2" t="n">
        <v>354660</v>
      </c>
    </row>
    <row r="5">
      <c r="A5" s="2" t="inlineStr">
        <is>
          <t>S04风险线</t>
        </is>
      </c>
      <c r="B5" s="2" t="inlineStr">
        <is>
          <t>连续2日&lt;27.50</t>
        </is>
      </c>
      <c r="C5" s="2" t="n">
        <v>26.8</v>
      </c>
      <c r="D5" s="2" t="n">
        <v>3000</v>
      </c>
      <c r="E5" s="2" t="inlineStr">
        <is>
          <t>目标17900；5日内上限15000</t>
        </is>
      </c>
      <c r="F5" s="2" t="inlineStr">
        <is>
          <t>39.80%/51.2%</t>
        </is>
      </c>
      <c r="G5" s="2" t="n">
        <v>409336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</t>
        </is>
      </c>
      <c r="B1" s="1" t="inlineStr">
        <is>
          <t>批次</t>
        </is>
      </c>
      <c r="C1" s="1" t="inlineStr">
        <is>
          <t>数量(股)</t>
        </is>
      </c>
      <c r="D1" s="1" t="inlineStr">
        <is>
          <t>成交价</t>
        </is>
      </c>
      <c r="E1" s="1" t="inlineStr">
        <is>
          <t>成交额</t>
        </is>
      </c>
      <c r="F1" s="1" t="inlineStr">
        <is>
          <t>佣金</t>
        </is>
      </c>
      <c r="G1" s="1" t="inlineStr">
        <is>
          <t>印花税</t>
        </is>
      </c>
      <c r="H1" s="1" t="inlineStr">
        <is>
          <t>费用合计</t>
        </is>
      </c>
      <c r="I1" s="1" t="inlineStr">
        <is>
          <t>净回笼</t>
        </is>
      </c>
      <c r="J1" s="1" t="inlineStr">
        <is>
          <t>扣费后实现盈亏</t>
        </is>
      </c>
    </row>
    <row r="2">
      <c r="A2" s="2" t="inlineStr">
        <is>
          <t>R1</t>
        </is>
      </c>
      <c r="B2" s="2" t="inlineStr">
        <is>
          <t>C(6/12批)</t>
        </is>
      </c>
      <c r="C2" s="2" t="n">
        <v>6000</v>
      </c>
      <c r="D2" s="2" t="n">
        <v>31.4</v>
      </c>
      <c r="E2" s="2">
        <f>C2*D2</f>
        <v/>
      </c>
      <c r="F2" s="2">
        <f>MAX(E2*0.0003,5)</f>
        <v/>
      </c>
      <c r="G2" s="2">
        <f>E2*0.0005</f>
        <v/>
      </c>
      <c r="H2" s="2">
        <f>F2+G2</f>
        <v/>
      </c>
      <c r="I2" s="2">
        <f>E2-H2</f>
        <v/>
      </c>
      <c r="J2" s="2">
        <f>C2*(D2-34.1)-H2</f>
        <v/>
      </c>
    </row>
    <row r="3">
      <c r="A3" s="2" t="inlineStr">
        <is>
          <t>R2a</t>
        </is>
      </c>
      <c r="B3" s="2" t="inlineStr">
        <is>
          <t>C(8/26批)</t>
        </is>
      </c>
      <c r="C3" s="2" t="n">
        <v>2000</v>
      </c>
      <c r="D3" s="2" t="n">
        <v>31.4</v>
      </c>
      <c r="E3" s="2">
        <f>C3*D3</f>
        <v/>
      </c>
      <c r="F3" s="2">
        <f>MAX(E3*0.0003,5)</f>
        <v/>
      </c>
      <c r="G3" s="2">
        <f>E3*0.0005</f>
        <v/>
      </c>
      <c r="H3" s="2">
        <f>F3+G3</f>
        <v/>
      </c>
      <c r="I3" s="2">
        <f>E3-H3</f>
        <v/>
      </c>
      <c r="J3" s="2">
        <f>C3*(D3-34.1)-H3</f>
        <v/>
      </c>
    </row>
    <row r="4">
      <c r="A4" s="2" t="inlineStr">
        <is>
          <t>R2b</t>
        </is>
      </c>
      <c r="B4" s="2" t="inlineStr">
        <is>
          <t>B</t>
        </is>
      </c>
      <c r="C4" s="2" t="n">
        <v>2000</v>
      </c>
      <c r="D4" s="2" t="n">
        <v>31.4</v>
      </c>
      <c r="E4" s="2">
        <f>C4*D4</f>
        <v/>
      </c>
      <c r="F4" s="2">
        <f>MAX(E4*0.0003,5)</f>
        <v/>
      </c>
      <c r="G4" s="2">
        <f>E4*0.0005</f>
        <v/>
      </c>
      <c r="H4" s="2">
        <f>F4+G4</f>
        <v/>
      </c>
      <c r="I4" s="2">
        <f>E4-H4</f>
        <v/>
      </c>
      <c r="J4" s="2">
        <f>C4*(D4-27.6)-H4</f>
        <v/>
      </c>
    </row>
    <row r="5">
      <c r="A5" s="2" t="inlineStr">
        <is>
          <t>R3</t>
        </is>
      </c>
      <c r="B5" s="2" t="inlineStr">
        <is>
          <t>A</t>
        </is>
      </c>
      <c r="C5" s="2" t="n">
        <v>2600</v>
      </c>
      <c r="D5" s="2" t="n">
        <v>31.4</v>
      </c>
      <c r="E5" s="2">
        <f>C5*D5</f>
        <v/>
      </c>
      <c r="F5" s="2">
        <f>MAX(E5*0.0003,5)</f>
        <v/>
      </c>
      <c r="G5" s="2">
        <f>E5*0.0005</f>
        <v/>
      </c>
      <c r="H5" s="2">
        <f>F5+G5</f>
        <v/>
      </c>
      <c r="I5" s="2">
        <f>E5-H5</f>
        <v/>
      </c>
      <c r="J5" s="2">
        <f>C5*(D5-18.2)-H5</f>
        <v/>
      </c>
    </row>
    <row r="6">
      <c r="A6" s="2" t="inlineStr">
        <is>
          <t>合计</t>
        </is>
      </c>
      <c r="B6" s="2" t="inlineStr"/>
      <c r="C6" s="2">
        <f>SUM(C2:C5)</f>
        <v/>
      </c>
      <c r="D6" s="2" t="inlineStr"/>
      <c r="E6" s="2">
        <f>SUM(E2:E5)</f>
        <v/>
      </c>
      <c r="F6" s="2">
        <f>SUM(F2:F5)</f>
        <v/>
      </c>
      <c r="G6" s="2">
        <f>SUM(G2:G5)</f>
        <v/>
      </c>
      <c r="H6" s="2">
        <f>SUM(H2:H5)</f>
        <v/>
      </c>
      <c r="I6" s="2">
        <f>SUM(I2:I5)</f>
        <v/>
      </c>
      <c r="J6" s="2">
        <f>SUM(J2:J5)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规则号</t>
        </is>
      </c>
      <c r="B1" s="1" t="inlineStr">
        <is>
          <t>触发条件</t>
        </is>
      </c>
      <c r="C1" s="1" t="inlineStr">
        <is>
          <t>动作</t>
        </is>
      </c>
      <c r="D1" s="1" t="inlineStr">
        <is>
          <t>数量口径</t>
        </is>
      </c>
      <c r="E1" s="1" t="inlineStr">
        <is>
          <t>执行时点</t>
        </is>
      </c>
      <c r="F1" s="1" t="inlineStr">
        <is>
          <t>未成交后手</t>
        </is>
      </c>
    </row>
    <row r="2">
      <c r="A2" s="2" t="inlineStr">
        <is>
          <t>R1</t>
        </is>
      </c>
      <c r="B2" s="2" t="inlineStr">
        <is>
          <t>8/27起价格在区间</t>
        </is>
      </c>
      <c r="C2" s="2" t="inlineStr">
        <is>
          <t>卖C的6/12批</t>
        </is>
      </c>
      <c r="D2" s="2" t="inlineStr">
        <is>
          <t>累计6000</t>
        </is>
      </c>
      <c r="E2" s="2" t="inlineStr">
        <is>
          <t>8/27起首个交易日</t>
        </is>
      </c>
      <c r="F2" s="2" t="inlineStr">
        <is>
          <t>次日继续不追价</t>
        </is>
      </c>
    </row>
    <row r="3">
      <c r="A3" s="2" t="inlineStr">
        <is>
          <t>R2</t>
        </is>
      </c>
      <c r="B3" s="2" t="inlineStr">
        <is>
          <t>R1完成后至10/16</t>
        </is>
      </c>
      <c r="C3" s="2" t="inlineStr">
        <is>
          <t>卖C2000+B2000</t>
        </is>
      </c>
      <c r="D3" s="2" t="inlineStr">
        <is>
          <t>累计10000</t>
        </is>
      </c>
      <c r="E3" s="2" t="inlineStr">
        <is>
          <t>&lt;=2日</t>
        </is>
      </c>
      <c r="F3" s="2" t="inlineStr">
        <is>
          <t>顺延，10/30现金&gt;=12万</t>
        </is>
      </c>
    </row>
    <row r="4">
      <c r="A4" s="2" t="inlineStr">
        <is>
          <t>R3</t>
        </is>
      </c>
      <c r="B4" s="2" t="inlineStr">
        <is>
          <t>10/19-11/13</t>
        </is>
      </c>
      <c r="C4" s="2" t="inlineStr">
        <is>
          <t>卖A2600</t>
        </is>
      </c>
      <c r="D4" s="2" t="inlineStr">
        <is>
          <t>累计12600</t>
        </is>
      </c>
      <c r="E4" s="2" t="inlineStr">
        <is>
          <t>11/13前</t>
        </is>
      </c>
      <c r="F4" s="2" t="inlineStr">
        <is>
          <t>当日补单否则明示</t>
        </is>
      </c>
    </row>
    <row r="5">
      <c r="A5" s="2" t="inlineStr">
        <is>
          <t>R4</t>
        </is>
      </c>
      <c r="B5" s="2" t="inlineStr">
        <is>
          <t>连续2日&lt;27.50</t>
        </is>
      </c>
      <c r="C5" s="2" t="inlineStr">
        <is>
          <t>40%加速每日&lt;=3000</t>
        </is>
      </c>
      <c r="D5" s="2" t="inlineStr">
        <is>
          <t>5日内向17900推进</t>
        </is>
      </c>
      <c r="E5" s="2" t="inlineStr">
        <is>
          <t>触发次日起5日</t>
        </is>
      </c>
      <c r="F5" s="2" t="inlineStr">
        <is>
          <t>缺口流动性恢复后补</t>
        </is>
      </c>
    </row>
    <row r="6">
      <c r="A6" s="2" t="inlineStr">
        <is>
          <t>R5</t>
        </is>
      </c>
      <c r="B6" s="2" t="inlineStr">
        <is>
          <t>收盘&gt;=33.60</t>
        </is>
      </c>
      <c r="C6" s="2" t="inlineStr">
        <is>
          <t>借反弹卖不等更高</t>
        </is>
      </c>
      <c r="D6" s="2" t="inlineStr">
        <is>
          <t>单笔&lt;=6000</t>
        </is>
      </c>
      <c r="E6" s="2" t="inlineStr">
        <is>
          <t>下一交易日</t>
        </is>
      </c>
      <c r="F6" s="2" t="inlineStr">
        <is>
          <t>反弹更须执行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被核验指标</t>
        </is>
      </c>
      <c r="B1" s="1" t="inlineStr">
        <is>
          <t>取值单元格</t>
        </is>
      </c>
      <c r="C1" s="1" t="inlineStr">
        <is>
          <t>公式原文</t>
        </is>
      </c>
      <c r="D1" s="1" t="inlineStr">
        <is>
          <t>重算值</t>
        </is>
      </c>
      <c r="E1" s="1" t="inlineStr">
        <is>
          <t>与正文一致</t>
        </is>
      </c>
    </row>
    <row r="2">
      <c r="A2" s="2" t="inlineStr">
        <is>
          <t>总市值</t>
        </is>
      </c>
      <c r="B2" s="2" t="inlineStr">
        <is>
          <t>输入快照!B5</t>
        </is>
      </c>
      <c r="C2" s="2" t="inlineStr">
        <is>
          <t>＝B4*B3</t>
        </is>
      </c>
      <c r="D2" s="2" t="inlineStr">
        <is>
          <t>879200</t>
        </is>
      </c>
      <c r="E2" s="2" t="inlineStr">
        <is>
          <t>是</t>
        </is>
      </c>
    </row>
    <row r="3">
      <c r="A3" s="2" t="inlineStr">
        <is>
          <t>总资产</t>
        </is>
      </c>
      <c r="B3" s="2" t="inlineStr">
        <is>
          <t>输入快照!B7</t>
        </is>
      </c>
      <c r="C3" s="2" t="inlineStr">
        <is>
          <t>＝B5+B6</t>
        </is>
      </c>
      <c r="D3" s="2" t="inlineStr">
        <is>
          <t>1029200</t>
        </is>
      </c>
      <c r="E3" s="2" t="inlineStr">
        <is>
          <t>是</t>
        </is>
      </c>
    </row>
    <row r="4">
      <c r="A4" s="2" t="inlineStr">
        <is>
          <t>当前占比</t>
        </is>
      </c>
      <c r="B4" s="2" t="inlineStr">
        <is>
          <t>硬约束状态!C2</t>
        </is>
      </c>
      <c r="C4" s="2" t="inlineStr">
        <is>
          <t>879200/1029200</t>
        </is>
      </c>
      <c r="D4" s="2" t="inlineStr">
        <is>
          <t>85.43%</t>
        </is>
      </c>
      <c r="E4" s="2" t="inlineStr">
        <is>
          <t>是</t>
        </is>
      </c>
    </row>
    <row r="5">
      <c r="A5" s="2" t="inlineStr">
        <is>
          <t>主方案费用</t>
        </is>
      </c>
      <c r="B5" s="2" t="inlineStr">
        <is>
          <t>交易明细!H6</t>
        </is>
      </c>
      <c r="C5" s="2" t="inlineStr">
        <is>
          <t>＝SUM(H2:H5)</t>
        </is>
      </c>
      <c r="D5" s="2" t="inlineStr">
        <is>
          <t>316.51</t>
        </is>
      </c>
      <c r="E5" s="2" t="inlineStr">
        <is>
          <t>是</t>
        </is>
      </c>
    </row>
    <row r="6">
      <c r="A6" s="2" t="inlineStr">
        <is>
          <t>主方案净回笼</t>
        </is>
      </c>
      <c r="B6" s="2" t="inlineStr">
        <is>
          <t>交易明细!I6</t>
        </is>
      </c>
      <c r="C6" s="2" t="inlineStr">
        <is>
          <t>＝SUM(I2:I5)</t>
        </is>
      </c>
      <c r="D6" s="2" t="inlineStr">
        <is>
          <t>395323.49</t>
        </is>
      </c>
      <c r="E6" s="2" t="inlineStr">
        <is>
          <t>是</t>
        </is>
      </c>
    </row>
    <row r="7">
      <c r="A7" s="2" t="inlineStr">
        <is>
          <t>期末现金</t>
        </is>
      </c>
      <c r="B7" s="2" t="inlineStr">
        <is>
          <t>(150000+395323-220000)</t>
        </is>
      </c>
      <c r="C7" s="2" t="inlineStr">
        <is>
          <t>＝150000+I6-220000</t>
        </is>
      </c>
      <c r="D7" s="2" t="inlineStr">
        <is>
          <t>325323</t>
        </is>
      </c>
      <c r="E7" s="2" t="inlineStr">
        <is>
          <t>是</t>
        </is>
      </c>
    </row>
    <row r="8">
      <c r="A8" s="2" t="inlineStr">
        <is>
          <t>期末剩余股</t>
        </is>
      </c>
      <c r="B8" s="2" t="inlineStr">
        <is>
          <t>28000-12600</t>
        </is>
      </c>
      <c r="C8" s="2" t="inlineStr">
        <is>
          <t>＝28000-C6</t>
        </is>
      </c>
      <c r="D8" s="2" t="inlineStr">
        <is>
          <t>15400</t>
        </is>
      </c>
      <c r="E8" s="2" t="inlineStr">
        <is>
          <t>是</t>
        </is>
      </c>
    </row>
    <row r="9">
      <c r="A9" s="2" t="inlineStr">
        <is>
          <t>期末占比</t>
        </is>
      </c>
      <c r="B9" s="2" t="inlineStr">
        <is>
          <t>(15400*31.4)/(483560+325323)</t>
        </is>
      </c>
      <c r="C9" s="2" t="inlineStr">
        <is>
          <t>483560/808883</t>
        </is>
      </c>
      <c r="D9" s="2" t="inlineStr">
        <is>
          <t>59.78%</t>
        </is>
      </c>
      <c r="E9" s="2" t="inlineStr">
        <is>
          <t>是</t>
        </is>
      </c>
    </row>
    <row r="10">
      <c r="A10" s="2" t="inlineStr">
        <is>
          <t>相邻一手检验12500</t>
        </is>
      </c>
      <c r="B10" s="2" t="inlineStr">
        <is>
          <t>卖12500股占比</t>
        </is>
      </c>
      <c r="C10" s="2" t="inlineStr">
        <is>
          <t>15500*31.4/(...)+现金</t>
        </is>
      </c>
      <c r="D10" s="2" t="inlineStr">
        <is>
          <t>60.17%&gt;60% 未达标</t>
        </is>
      </c>
      <c r="E10" s="2" t="inlineStr">
        <is>
          <t>是</t>
        </is>
      </c>
    </row>
    <row r="11">
      <c r="A11" s="2" t="inlineStr">
        <is>
          <t>费用率</t>
        </is>
      </c>
      <c r="B11" s="2" t="inlineStr">
        <is>
          <t>交易明细!H6/E6</t>
        </is>
      </c>
      <c r="C11" s="2" t="inlineStr">
        <is>
          <t>316.51/395640</t>
        </is>
      </c>
      <c r="D11" s="2" t="inlineStr">
        <is>
          <t>0.0800%</t>
        </is>
      </c>
      <c r="E11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2026-09-20T04:59:41Z</dcterms:created>
  <dcterms:modified xmlns:dcterms="http://purl.org/dc/terms/" xmlns:xsi="http://www.w3.org/2001/XMLSchema-instance" xsi:type="dcterms:W3CDTF">2026-09-20T04:59:41Z</dcterms:modified>
</cp:coreProperties>
</file>