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封面与口径" sheetId="1" state="visible" r:id="rId2"/>
    <sheet name="输入快照-账户" sheetId="2" state="visible" r:id="rId3"/>
    <sheet name="输入快照-持仓批次" sheetId="3" state="visible" r:id="rId4"/>
    <sheet name="输入快照-可交易状态" sheetId="4" state="visible" r:id="rId5"/>
    <sheet name="输入快照-风险暴露" sheetId="5" state="visible" r:id="rId6"/>
    <sheet name="持仓勾稽" sheetId="6" state="visible" r:id="rId7"/>
    <sheet name="交易日历" sheetId="7" state="visible" r:id="rId8"/>
    <sheet name="交易明细" sheetId="8" state="visible" r:id="rId9"/>
    <sheet name="资金转出影响" sheetId="9" state="visible" r:id="rId10"/>
    <sheet name="硬约束状态" sheetId="10" state="visible" r:id="rId11"/>
    <sheet name="方案对比" sheetId="11" state="visible" r:id="rId12"/>
    <sheet name="情景与压力" sheetId="12" state="visible" r:id="rId13"/>
    <sheet name="条件规则" sheetId="13" state="visible" r:id="rId14"/>
    <sheet name="假设与缺失" sheetId="14" state="visible" r:id="rId15"/>
    <sheet name="核验" sheetId="15" state="visible" r:id="rId16"/>
    <sheet name="交付自检回执" sheetId="16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<sst xmlns="http://schemas.openxmlformats.org/spreadsheetml/2006/main" count="736" uniqueCount="529">
  <si>
    <t xml:space="preserve">组合持仓诊断与交易纪律（调仓前分析稿）</t>
  </si>
  <si>
    <r>
      <rPr>
        <b val="true"/>
        <sz val="11"/>
        <color rgb="FF1F3864"/>
        <rFont val="Noto Sans CJK SC"/>
        <family val="2"/>
      </rPr>
      <t xml:space="preserve">资料截点 </t>
    </r>
    <r>
      <rPr>
        <b val="true"/>
        <sz val="11"/>
        <color rgb="FF1F3864"/>
        <rFont val="Cambria"/>
        <family val="0"/>
        <charset val="1"/>
      </rPr>
      <t xml:space="preserve">(as-of)</t>
    </r>
  </si>
  <si>
    <r>
      <rPr>
        <sz val="11"/>
        <color rgb="FF000000"/>
        <rFont val="Calibri"/>
        <family val="2"/>
        <charset val="1"/>
      </rPr>
      <t xml:space="preserve">2026-08-14 17:00 </t>
    </r>
    <r>
      <rPr>
        <sz val="11"/>
        <color rgb="FF000000"/>
        <rFont val="Noto Sans CJK SC"/>
        <family val="2"/>
      </rPr>
      <t xml:space="preserve">北京时间</t>
    </r>
  </si>
  <si>
    <t xml:space="preserve">决策窗口</t>
  </si>
  <si>
    <r>
      <rPr>
        <sz val="11"/>
        <color rgb="FF000000"/>
        <rFont val="Calibri"/>
        <family val="2"/>
        <charset val="1"/>
      </rPr>
      <t xml:space="preserve">2026-08-17</t>
    </r>
    <r>
      <rPr>
        <sz val="11"/>
        <color rgb="FF000000"/>
        <rFont val="Noto Sans CJK SC"/>
        <family val="2"/>
      </rPr>
      <t xml:space="preserve">（周一）客户确认净转出 </t>
    </r>
    <r>
      <rPr>
        <sz val="11"/>
        <color rgb="FF000000"/>
        <rFont val="Calibri"/>
        <family val="2"/>
        <charset val="1"/>
      </rPr>
      <t xml:space="preserve">50,000 </t>
    </r>
    <r>
      <rPr>
        <sz val="11"/>
        <color rgb="FF000000"/>
        <rFont val="Noto Sans CJK SC"/>
        <family val="2"/>
      </rPr>
      <t xml:space="preserve">元，同日起可执行调仓</t>
    </r>
  </si>
  <si>
    <t xml:space="preserve">基准币种</t>
  </si>
  <si>
    <r>
      <rPr>
        <sz val="11"/>
        <color rgb="FF000000"/>
        <rFont val="Noto Sans CJK SC"/>
        <family val="2"/>
      </rPr>
      <t xml:space="preserve">人民币元（</t>
    </r>
    <r>
      <rPr>
        <sz val="11"/>
        <color rgb="FF000000"/>
        <rFont val="Calibri"/>
        <family val="2"/>
        <charset val="1"/>
      </rPr>
      <t xml:space="preserve">HKD/USD </t>
    </r>
    <r>
      <rPr>
        <sz val="11"/>
        <color rgb="FF000000"/>
        <rFont val="Noto Sans CJK SC"/>
        <family val="2"/>
      </rPr>
      <t xml:space="preserve">按截点汇率折算）</t>
    </r>
  </si>
  <si>
    <t xml:space="preserve">美元兑人民币汇率</t>
  </si>
  <si>
    <t xml:space="preserve">港币兑人民币汇率</t>
  </si>
  <si>
    <t xml:space="preserve">采用的总资产口径（主）</t>
  </si>
  <si>
    <r>
      <rPr>
        <sz val="11"/>
        <color rgb="FF000000"/>
        <rFont val="Noto Sans CJK SC"/>
        <family val="2"/>
      </rPr>
      <t xml:space="preserve">托管系统口径 </t>
    </r>
    <r>
      <rPr>
        <sz val="11"/>
        <color rgb="FF000000"/>
        <rFont val="Calibri"/>
        <family val="2"/>
        <charset val="1"/>
      </rPr>
      <t xml:space="preserve">= </t>
    </r>
    <r>
      <rPr>
        <sz val="11"/>
        <color rgb="FF000000"/>
        <rFont val="Noto Sans CJK SC"/>
        <family val="2"/>
      </rPr>
      <t xml:space="preserve">证券市值 </t>
    </r>
    <r>
      <rPr>
        <sz val="11"/>
        <color rgb="FF000000"/>
        <rFont val="Calibri"/>
        <family val="2"/>
        <charset val="1"/>
      </rPr>
      <t xml:space="preserve">869,820 + RMB</t>
    </r>
    <r>
      <rPr>
        <sz val="11"/>
        <color rgb="FF000000"/>
        <rFont val="Noto Sans CJK SC"/>
        <family val="2"/>
      </rPr>
      <t xml:space="preserve">现金 </t>
    </r>
    <r>
      <rPr>
        <sz val="11"/>
        <color rgb="FF000000"/>
        <rFont val="Calibri"/>
        <family val="2"/>
        <charset val="1"/>
      </rPr>
      <t xml:space="preserve">142,500 + USD</t>
    </r>
    <r>
      <rPr>
        <sz val="11"/>
        <color rgb="FF000000"/>
        <rFont val="Noto Sans CJK SC"/>
        <family val="2"/>
      </rPr>
      <t xml:space="preserve">现金 </t>
    </r>
    <r>
      <rPr>
        <sz val="11"/>
        <color rgb="FF000000"/>
        <rFont val="Calibri"/>
        <family val="2"/>
        <charset val="1"/>
      </rPr>
      <t xml:space="preserve">3,000×7.18 − </t>
    </r>
    <r>
      <rPr>
        <sz val="11"/>
        <color rgb="FF000000"/>
        <rFont val="Noto Sans CJK SC"/>
        <family val="2"/>
      </rPr>
      <t xml:space="preserve">待扣费用 </t>
    </r>
    <r>
      <rPr>
        <sz val="11"/>
        <color rgb="FF000000"/>
        <rFont val="Calibri"/>
        <family val="2"/>
        <charset val="1"/>
      </rPr>
      <t xml:space="preserve">1,200 = 1,032,660</t>
    </r>
  </si>
  <si>
    <t xml:space="preserve">组合经理手工记录</t>
  </si>
  <si>
    <t xml:space="preserve">两口径差额（托管 − 手工）</t>
  </si>
  <si>
    <t xml:space="preserve">未决残差说明</t>
  </si>
  <si>
    <r>
      <rPr>
        <sz val="11"/>
        <color rgb="FF000000"/>
        <rFont val="Noto Sans CJK SC"/>
        <family val="2"/>
      </rPr>
      <t xml:space="preserve">托管系统 </t>
    </r>
    <r>
      <rPr>
        <sz val="11"/>
        <color rgb="FF000000"/>
        <rFont val="Calibri"/>
        <family val="2"/>
        <charset val="1"/>
      </rPr>
      <t xml:space="preserve">1,032,660 </t>
    </r>
    <r>
      <rPr>
        <sz val="11"/>
        <color rgb="FF000000"/>
        <rFont val="Noto Sans CJK SC"/>
        <family val="2"/>
      </rPr>
      <t xml:space="preserve">可与明细逐项勾稽；</t>
    </r>
    <r>
      <rPr>
        <sz val="11"/>
        <color rgb="FF000000"/>
        <rFont val="Calibri"/>
        <family val="2"/>
        <charset val="1"/>
      </rPr>
      <t xml:space="preserve">PM </t>
    </r>
    <r>
      <rPr>
        <sz val="11"/>
        <color rgb="FF000000"/>
        <rFont val="Noto Sans CJK SC"/>
        <family val="2"/>
      </rPr>
      <t xml:space="preserve">手工 </t>
    </r>
    <r>
      <rPr>
        <sz val="11"/>
        <color rgb="FF000000"/>
        <rFont val="Calibri"/>
        <family val="2"/>
        <charset val="1"/>
      </rPr>
      <t xml:space="preserve">1,029,000 </t>
    </r>
    <r>
      <rPr>
        <sz val="11"/>
        <color rgb="FF000000"/>
        <rFont val="Noto Sans CJK SC"/>
        <family val="2"/>
      </rPr>
      <t xml:space="preserve">少 </t>
    </r>
    <r>
      <rPr>
        <sz val="11"/>
        <color rgb="FF000000"/>
        <rFont val="Calibri"/>
        <family val="2"/>
        <charset val="1"/>
      </rPr>
      <t xml:space="preserve">3,660 </t>
    </r>
    <r>
      <rPr>
        <sz val="11"/>
        <color rgb="FF000000"/>
        <rFont val="Noto Sans CJK SC"/>
        <family val="2"/>
      </rPr>
      <t xml:space="preserve">元，附件未给出差异来源。本稿主口径采用托管数，差额计入‘假设与缺失’，不用其他资产抹平。</t>
    </r>
  </si>
  <si>
    <t xml:space="preserve">本周已确认净流出</t>
  </si>
  <si>
    <t xml:space="preserve">可用状态</t>
  </si>
  <si>
    <t xml:space="preserve">不融资、不融券、无场外杠杆；仅调仓前分析，不代表已下单</t>
  </si>
  <si>
    <t xml:space="preserve">输入快照：账户汇总（原样保留，蓝色为附件原值）</t>
  </si>
  <si>
    <t xml:space="preserve">字段</t>
  </si>
  <si>
    <t xml:space="preserve">数值</t>
  </si>
  <si>
    <t xml:space="preserve">币种或单位</t>
  </si>
  <si>
    <t xml:space="preserve">记录时间</t>
  </si>
  <si>
    <t xml:space="preserve">来源</t>
  </si>
  <si>
    <t xml:space="preserve">证券市值小计</t>
  </si>
  <si>
    <t xml:space="preserve">人民币元</t>
  </si>
  <si>
    <t xml:space="preserve">2026-08-14 15:05</t>
  </si>
  <si>
    <t xml:space="preserve">托管系统</t>
  </si>
  <si>
    <t xml:space="preserve">人民币可用现金</t>
  </si>
  <si>
    <t xml:space="preserve">资金系统</t>
  </si>
  <si>
    <t xml:space="preserve">美元现金</t>
  </si>
  <si>
    <t xml:space="preserve">美元</t>
  </si>
  <si>
    <t xml:space="preserve">美元兑人民币折算汇率</t>
  </si>
  <si>
    <r>
      <rPr>
        <sz val="11"/>
        <color rgb="FF000000"/>
        <rFont val="Noto Sans CJK SC"/>
        <family val="2"/>
      </rPr>
      <t xml:space="preserve">人民币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美元</t>
    </r>
  </si>
  <si>
    <t xml:space="preserve">2026-08-14 15:00</t>
  </si>
  <si>
    <t xml:space="preserve">内部估值表</t>
  </si>
  <si>
    <t xml:space="preserve">待扣费用</t>
  </si>
  <si>
    <t xml:space="preserve">账户总资产记录</t>
  </si>
  <si>
    <t xml:space="preserve">组合经理手工记录总资产</t>
  </si>
  <si>
    <t xml:space="preserve">2026-08-14 15:10</t>
  </si>
  <si>
    <t xml:space="preserve">组合工作表</t>
  </si>
  <si>
    <t xml:space="preserve">本周计划净流出</t>
  </si>
  <si>
    <t xml:space="preserve">2026-08-17</t>
  </si>
  <si>
    <t xml:space="preserve">客户已确认</t>
  </si>
  <si>
    <t xml:space="preserve">输入快照：持仓批次台账（原样保留）</t>
  </si>
  <si>
    <r>
      <rPr>
        <b val="true"/>
        <sz val="11"/>
        <color rgb="FFFFFFFF"/>
        <rFont val="Noto Sans CJK SC"/>
        <family val="2"/>
      </rPr>
      <t xml:space="preserve">证券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</si>
  <si>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证券类型</t>
  </si>
  <si>
    <t xml:space="preserve">行业或主题</t>
  </si>
  <si>
    <t xml:space="preserve">批次日期</t>
  </si>
  <si>
    <t xml:space="preserve">数量</t>
  </si>
  <si>
    <t xml:space="preserve">单位成本</t>
  </si>
  <si>
    <t xml:space="preserve">成本币种</t>
  </si>
  <si>
    <t xml:space="preserve">是否当日买入</t>
  </si>
  <si>
    <t xml:space="preserve">当前价格</t>
  </si>
  <si>
    <t xml:space="preserve">价格币种</t>
  </si>
  <si>
    <t xml:space="preserve">P01</t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</si>
  <si>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股</t>
    </r>
  </si>
  <si>
    <t xml:space="preserve">电子</t>
  </si>
  <si>
    <t xml:space="preserve">2026-05-10</t>
  </si>
  <si>
    <t xml:space="preserve">人民币</t>
  </si>
  <si>
    <t xml:space="preserve">否</t>
  </si>
  <si>
    <t xml:space="preserve">2026-07-02</t>
  </si>
  <si>
    <t xml:space="preserve">2026-08-14</t>
  </si>
  <si>
    <t xml:space="preserve">是</t>
  </si>
  <si>
    <t xml:space="preserve">P02</t>
  </si>
  <si>
    <t xml:space="preserve">计算机</t>
  </si>
  <si>
    <t xml:space="preserve">2026-03-18</t>
  </si>
  <si>
    <t xml:space="preserve">P03</t>
  </si>
  <si>
    <t xml:space="preserve">医药</t>
  </si>
  <si>
    <t xml:space="preserve">2026-04-11</t>
  </si>
  <si>
    <t xml:space="preserve">P04</t>
  </si>
  <si>
    <t xml:space="preserve">工业</t>
  </si>
  <si>
    <t xml:space="preserve">2026-01-20</t>
  </si>
  <si>
    <t xml:space="preserve">P05</t>
  </si>
  <si>
    <t xml:space="preserve">2025-12-05</t>
  </si>
  <si>
    <t xml:space="preserve">P06</t>
  </si>
  <si>
    <r>
      <rPr>
        <sz val="11"/>
        <color rgb="FF000000"/>
        <rFont val="Noto Sans CJK SC"/>
        <family val="2"/>
      </rPr>
      <t xml:space="preserve">境内</t>
    </r>
    <r>
      <rPr>
        <sz val="11"/>
        <color rgb="FF000000"/>
        <rFont val="Calibri"/>
        <family val="2"/>
        <charset val="1"/>
      </rPr>
      <t xml:space="preserve">ETF</t>
    </r>
  </si>
  <si>
    <t xml:space="preserve">红利</t>
  </si>
  <si>
    <t xml:space="preserve">2026-02-06</t>
  </si>
  <si>
    <t xml:space="preserve">P07</t>
  </si>
  <si>
    <r>
      <rPr>
        <sz val="11"/>
        <color rgb="FF000000"/>
        <rFont val="Noto Sans CJK SC"/>
        <family val="2"/>
      </rPr>
      <t xml:space="preserve">港股</t>
    </r>
    <r>
      <rPr>
        <sz val="11"/>
        <color rgb="FF000000"/>
        <rFont val="Calibri"/>
        <family val="2"/>
        <charset val="1"/>
      </rPr>
      <t xml:space="preserve">ETF</t>
    </r>
  </si>
  <si>
    <t xml:space="preserve">海外科技</t>
  </si>
  <si>
    <t xml:space="preserve">2026-06-16</t>
  </si>
  <si>
    <t xml:space="preserve">港币</t>
  </si>
  <si>
    <t xml:space="preserve">输入快照：行情与可交易状态（原样保留）</t>
  </si>
  <si>
    <t xml:space="preserve">市场</t>
  </si>
  <si>
    <t xml:space="preserve">最新价格</t>
  </si>
  <si>
    <t xml:space="preserve">币种</t>
  </si>
  <si>
    <t xml:space="preserve">价格时间</t>
  </si>
  <si>
    <t xml:space="preserve">交易状态</t>
  </si>
  <si>
    <t xml:space="preserve">涨跌停状态</t>
  </si>
  <si>
    <t xml:space="preserve">当日买入数量</t>
  </si>
  <si>
    <t xml:space="preserve">可卖数量</t>
  </si>
  <si>
    <t xml:space="preserve">最小交易单位</t>
  </si>
  <si>
    <r>
      <rPr>
        <b val="true"/>
        <sz val="11"/>
        <color rgb="FFFFFFFF"/>
        <rFont val="Cambria"/>
        <family val="0"/>
        <charset val="1"/>
      </rPr>
      <t xml:space="preserve">20</t>
    </r>
    <r>
      <rPr>
        <b val="true"/>
        <sz val="11"/>
        <color rgb="FFFFFFFF"/>
        <rFont val="Noto Sans CJK SC"/>
        <family val="2"/>
      </rPr>
      <t xml:space="preserve">日均额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万元</t>
    </r>
  </si>
  <si>
    <t xml:space="preserve">说明</t>
  </si>
  <si>
    <t xml:space="preserve">沪深</t>
  </si>
  <si>
    <t xml:space="preserve">正常</t>
  </si>
  <si>
    <t xml:space="preserve">无</t>
  </si>
  <si>
    <r>
      <rPr>
        <sz val="11"/>
        <color rgb="FF000000"/>
        <rFont val="Noto Sans CJK SC"/>
        <family val="2"/>
      </rPr>
      <t xml:space="preserve">当日买入部分按</t>
    </r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管理</t>
    </r>
  </si>
  <si>
    <t xml:space="preserve">跌停</t>
  </si>
  <si>
    <t xml:space="preserve">收盘封单，次日成交不确定</t>
  </si>
  <si>
    <t xml:space="preserve">2026-08-13 15:00</t>
  </si>
  <si>
    <t xml:space="preserve">停牌</t>
  </si>
  <si>
    <t xml:space="preserve">不适用</t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</si>
  <si>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CJK SC"/>
        <family val="2"/>
      </rPr>
      <t xml:space="preserve">日全天停牌，复牌日未确定</t>
    </r>
  </si>
  <si>
    <r>
      <rPr>
        <sz val="11"/>
        <color rgb="FF000000"/>
        <rFont val="Calibri"/>
        <family val="2"/>
        <charset val="1"/>
      </rPr>
      <t xml:space="preserve">8/12</t>
    </r>
    <r>
      <rPr>
        <sz val="11"/>
        <color rgb="FF000000"/>
        <rFont val="Noto Sans CJK SC"/>
        <family val="2"/>
      </rPr>
      <t xml:space="preserve">每份现金分配</t>
    </r>
    <r>
      <rPr>
        <sz val="11"/>
        <color rgb="FF000000"/>
        <rFont val="Calibri"/>
        <family val="2"/>
        <charset val="1"/>
      </rPr>
      <t xml:space="preserve">0.80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8/11</t>
    </r>
    <r>
      <rPr>
        <sz val="11"/>
        <color rgb="FF000000"/>
        <rFont val="Noto Sans CJK SC"/>
        <family val="2"/>
      </rPr>
      <t xml:space="preserve">未调收盘</t>
    </r>
    <r>
      <rPr>
        <sz val="11"/>
        <color rgb="FF000000"/>
        <rFont val="Calibri"/>
        <family val="2"/>
        <charset val="1"/>
      </rPr>
      <t xml:space="preserve">3.68</t>
    </r>
    <r>
      <rPr>
        <sz val="11"/>
        <color rgb="FF000000"/>
        <rFont val="Noto Sans CJK SC"/>
        <family val="2"/>
      </rPr>
      <t xml:space="preserve">，调整后参考价</t>
    </r>
    <r>
      <rPr>
        <sz val="11"/>
        <color rgb="FF000000"/>
        <rFont val="Calibri"/>
        <family val="2"/>
        <charset val="1"/>
      </rPr>
      <t xml:space="preserve">2.88</t>
    </r>
  </si>
  <si>
    <t xml:space="preserve">香港</t>
  </si>
  <si>
    <t xml:space="preserve">2026-08-14 16:00</t>
  </si>
  <si>
    <r>
      <rPr>
        <sz val="11"/>
        <color rgb="FF000000"/>
        <rFont val="Noto Sans CJK SC"/>
        <family val="2"/>
      </rPr>
      <t xml:space="preserve">港币兑人民币估值汇率</t>
    </r>
    <r>
      <rPr>
        <sz val="11"/>
        <color rgb="FF000000"/>
        <rFont val="Calibri"/>
        <family val="2"/>
        <charset val="1"/>
      </rPr>
      <t xml:space="preserve">0.92</t>
    </r>
  </si>
  <si>
    <t xml:space="preserve">输入快照：风险暴露（原样保留）</t>
  </si>
  <si>
    <t xml:space="preserve">风险分类</t>
  </si>
  <si>
    <t xml:space="preserve">组合分组</t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</si>
  <si>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Cambria"/>
        <family val="0"/>
        <charset val="1"/>
      </rPr>
      <t xml:space="preserve">60</t>
    </r>
    <r>
      <rPr>
        <b val="true"/>
        <sz val="11"/>
        <color rgb="FFFFFFFF"/>
        <rFont val="Noto Sans CJK SC"/>
        <family val="2"/>
      </rPr>
      <t xml:space="preserve">日波动率</t>
    </r>
  </si>
  <si>
    <t xml:space="preserve">内部风险等级</t>
  </si>
  <si>
    <r>
      <rPr>
        <b val="true"/>
        <sz val="11"/>
        <color rgb="FFFFFFFF"/>
        <rFont val="Noto Sans CJK SC"/>
        <family val="2"/>
      </rPr>
      <t xml:space="preserve">与</t>
    </r>
    <r>
      <rPr>
        <b val="true"/>
        <sz val="11"/>
        <color rgb="FFFFFFFF"/>
        <rFont val="Cambria"/>
        <family val="0"/>
        <charset val="1"/>
      </rPr>
      <t xml:space="preserve">P05</t>
    </r>
    <r>
      <rPr>
        <b val="true"/>
        <sz val="11"/>
        <color rgb="FFFFFFFF"/>
        <rFont val="Noto Sans CJK SC"/>
        <family val="2"/>
      </rPr>
      <t xml:space="preserve">相关系数</t>
    </r>
  </si>
  <si>
    <t xml:space="preserve">是否外币暴露</t>
  </si>
  <si>
    <t xml:space="preserve">成长</t>
  </si>
  <si>
    <t xml:space="preserve">科技</t>
  </si>
  <si>
    <t xml:space="preserve">高</t>
  </si>
  <si>
    <t xml:space="preserve">防御</t>
  </si>
  <si>
    <t xml:space="preserve">中</t>
  </si>
  <si>
    <t xml:space="preserve">周期</t>
  </si>
  <si>
    <t xml:space="preserve">低</t>
  </si>
  <si>
    <t xml:space="preserve">中高</t>
  </si>
  <si>
    <r>
      <rPr>
        <b val="true"/>
        <sz val="14"/>
        <color rgb="FF1F3864"/>
        <rFont val="Noto Sans CJK SC"/>
        <family val="2"/>
      </rPr>
      <t xml:space="preserve">持仓勾稽、批次成本、浮动盈亏与权重（</t>
    </r>
    <r>
      <rPr>
        <b val="true"/>
        <sz val="14"/>
        <color rgb="FF1F3864"/>
        <rFont val="Cambria"/>
        <family val="0"/>
        <charset val="1"/>
      </rPr>
      <t xml:space="preserve">as-of 2026-08-14</t>
    </r>
    <r>
      <rPr>
        <b val="true"/>
        <sz val="14"/>
        <color rgb="FF1F3864"/>
        <rFont val="Noto Sans CJK SC"/>
        <family val="2"/>
      </rPr>
      <t xml:space="preserve">）</t>
    </r>
  </si>
  <si>
    <t xml:space="preserve">口径锚（蓝色为附件原值）</t>
  </si>
  <si>
    <r>
      <rPr>
        <b val="true"/>
        <sz val="11"/>
        <color rgb="FF1F3864"/>
        <rFont val="Noto Sans CJK SC"/>
        <family val="2"/>
      </rPr>
      <t xml:space="preserve">美元现金</t>
    </r>
    <r>
      <rPr>
        <b val="true"/>
        <sz val="11"/>
        <color rgb="FF1F3864"/>
        <rFont val="Cambria"/>
        <family val="0"/>
        <charset val="1"/>
      </rPr>
      <t xml:space="preserve">(USD)</t>
    </r>
  </si>
  <si>
    <t xml:space="preserve">美元兑人民币</t>
  </si>
  <si>
    <r>
      <rPr>
        <b val="true"/>
        <sz val="11"/>
        <color rgb="FF1F3864"/>
        <rFont val="Noto Sans CJK SC"/>
        <family val="2"/>
      </rPr>
      <t xml:space="preserve">采用总资产</t>
    </r>
    <r>
      <rPr>
        <b val="true"/>
        <sz val="11"/>
        <color rgb="FF1F3864"/>
        <rFont val="Cambria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托管系统</t>
    </r>
    <r>
      <rPr>
        <b val="true"/>
        <sz val="11"/>
        <color rgb="FF1F3864"/>
        <rFont val="Cambria"/>
        <family val="0"/>
        <charset val="1"/>
      </rPr>
      <t xml:space="preserve">)</t>
    </r>
  </si>
  <si>
    <r>
      <rPr>
        <b val="true"/>
        <sz val="11"/>
        <color rgb="FF1F3864"/>
        <rFont val="Cambria"/>
        <family val="0"/>
        <charset val="1"/>
      </rPr>
      <t xml:space="preserve">PM</t>
    </r>
    <r>
      <rPr>
        <b val="true"/>
        <sz val="11"/>
        <color rgb="FF1F3864"/>
        <rFont val="Noto Sans CJK SC"/>
        <family val="2"/>
      </rPr>
      <t xml:space="preserve">手工记录总资产</t>
    </r>
  </si>
  <si>
    <r>
      <rPr>
        <b val="true"/>
        <sz val="11"/>
        <color rgb="FFFFFFFF"/>
        <rFont val="Noto Sans CJK SC"/>
        <family val="2"/>
      </rPr>
      <t xml:space="preserve">行业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分组</t>
    </r>
  </si>
  <si>
    <t xml:space="preserve">风险等级</t>
  </si>
  <si>
    <t xml:space="preserve">总数量</t>
  </si>
  <si>
    <r>
      <rPr>
        <b val="true"/>
        <sz val="11"/>
        <color rgb="FFFFFFFF"/>
        <rFont val="Noto Sans CJK SC"/>
        <family val="2"/>
      </rPr>
      <t xml:space="preserve">现价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原币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</si>
  <si>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折算汇率</t>
  </si>
  <si>
    <r>
      <rPr>
        <b val="true"/>
        <sz val="11"/>
        <color rgb="FFFFFFFF"/>
        <rFont val="Noto Sans CJK SC"/>
        <family val="2"/>
      </rPr>
      <t xml:space="preserve">现价</t>
    </r>
    <r>
      <rPr>
        <b val="true"/>
        <sz val="11"/>
        <color rgb="FFFFFFFF"/>
        <rFont val="Cambria"/>
        <family val="0"/>
        <charset val="1"/>
      </rPr>
      <t xml:space="preserve">(RMB)</t>
    </r>
  </si>
  <si>
    <r>
      <rPr>
        <b val="true"/>
        <sz val="11"/>
        <color rgb="FFFFFFFF"/>
        <rFont val="Noto Sans CJK SC"/>
        <family val="2"/>
      </rPr>
      <t xml:space="preserve">总成本</t>
    </r>
    <r>
      <rPr>
        <b val="true"/>
        <sz val="11"/>
        <color rgb="FFFFFFFF"/>
        <rFont val="Cambria"/>
        <family val="0"/>
        <charset val="1"/>
      </rPr>
      <t xml:space="preserve">(RMB)</t>
    </r>
  </si>
  <si>
    <r>
      <rPr>
        <b val="true"/>
        <sz val="11"/>
        <color rgb="FFFFFFFF"/>
        <rFont val="Noto Sans CJK SC"/>
        <family val="2"/>
      </rPr>
      <t xml:space="preserve">市值</t>
    </r>
    <r>
      <rPr>
        <b val="true"/>
        <sz val="11"/>
        <color rgb="FFFFFFFF"/>
        <rFont val="Cambria"/>
        <family val="0"/>
        <charset val="1"/>
      </rPr>
      <t xml:space="preserve">(RMB)</t>
    </r>
  </si>
  <si>
    <r>
      <rPr>
        <b val="true"/>
        <sz val="11"/>
        <color rgb="FFFFFFFF"/>
        <rFont val="Noto Sans CJK SC"/>
        <family val="2"/>
      </rPr>
      <t xml:space="preserve">浮动盈亏</t>
    </r>
    <r>
      <rPr>
        <b val="true"/>
        <sz val="11"/>
        <color rgb="FFFFFFFF"/>
        <rFont val="Cambria"/>
        <family val="0"/>
        <charset val="1"/>
      </rPr>
      <t xml:space="preserve">(RMB)</t>
    </r>
  </si>
  <si>
    <t xml:space="preserve">权重</t>
  </si>
  <si>
    <t xml:space="preserve">周一可卖</t>
  </si>
  <si>
    <r>
      <rPr>
        <b val="true"/>
        <sz val="11"/>
        <color rgb="FFFFFFFF"/>
        <rFont val="Noto Sans CJK SC"/>
        <family val="2"/>
      </rPr>
      <t xml:space="preserve">状态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备注</t>
    </r>
  </si>
  <si>
    <r>
      <rPr>
        <sz val="11"/>
        <color rgb="FF000000"/>
        <rFont val="Noto Sans CJK SC"/>
        <family val="2"/>
      </rPr>
      <t xml:space="preserve">电子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科技</t>
    </r>
  </si>
  <si>
    <r>
      <rPr>
        <sz val="11"/>
        <color rgb="FF000000"/>
        <rFont val="Noto Sans CJK SC"/>
        <family val="2"/>
      </rPr>
      <t xml:space="preserve">含</t>
    </r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当日买入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股，周一</t>
    </r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解冻后可卖</t>
    </r>
  </si>
  <si>
    <r>
      <rPr>
        <sz val="11"/>
        <color rgb="FF000000"/>
        <rFont val="Noto Sans CJK SC"/>
        <family val="2"/>
      </rPr>
      <t xml:space="preserve">计算机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科技</t>
    </r>
  </si>
  <si>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收盘跌停封单，周一成交不确定</t>
    </r>
  </si>
  <si>
    <r>
      <rPr>
        <sz val="11"/>
        <color rgb="FF000000"/>
        <rFont val="Noto Sans CJK SC"/>
        <family val="2"/>
      </rPr>
      <t xml:space="preserve">停牌，可卖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CJK SC"/>
        <family val="2"/>
      </rPr>
      <t xml:space="preserve">；价格为</t>
    </r>
    <r>
      <rPr>
        <sz val="11"/>
        <color rgb="FF000000"/>
        <rFont val="Calibri"/>
        <family val="2"/>
        <charset val="1"/>
      </rPr>
      <t xml:space="preserve">8/13</t>
    </r>
    <r>
      <rPr>
        <sz val="11"/>
        <color rgb="FF000000"/>
        <rFont val="Noto Sans CJK SC"/>
        <family val="2"/>
      </rPr>
      <t xml:space="preserve">收盘</t>
    </r>
  </si>
  <si>
    <r>
      <rPr>
        <sz val="11"/>
        <color rgb="FF000000"/>
        <rFont val="Noto Sans CJK SC"/>
        <family val="2"/>
      </rPr>
      <t xml:space="preserve">正常；</t>
    </r>
    <r>
      <rPr>
        <sz val="11"/>
        <color rgb="FF000000"/>
        <rFont val="Calibri"/>
        <family val="2"/>
        <charset val="1"/>
      </rPr>
      <t xml:space="preserve">PM‘</t>
    </r>
    <r>
      <rPr>
        <sz val="11"/>
        <color rgb="FF000000"/>
        <rFont val="Noto Sans CJK SC"/>
        <family val="2"/>
      </rPr>
      <t xml:space="preserve">暂不减持’未获批准</t>
    </r>
  </si>
  <si>
    <r>
      <rPr>
        <sz val="11"/>
        <color rgb="FF000000"/>
        <rFont val="Calibri"/>
        <family val="2"/>
        <charset val="1"/>
      </rPr>
      <t xml:space="preserve">8/12</t>
    </r>
    <r>
      <rPr>
        <sz val="11"/>
        <color rgb="FF000000"/>
        <rFont val="Noto Sans CJK SC"/>
        <family val="2"/>
      </rPr>
      <t xml:space="preserve">每份分红</t>
    </r>
    <r>
      <rPr>
        <sz val="11"/>
        <color rgb="FF000000"/>
        <rFont val="Calibri"/>
        <family val="2"/>
        <charset val="1"/>
      </rPr>
      <t xml:space="preserve">0.80</t>
    </r>
    <r>
      <rPr>
        <sz val="11"/>
        <color rgb="FF000000"/>
        <rFont val="Noto Sans CJK SC"/>
        <family val="2"/>
      </rPr>
      <t xml:space="preserve">，成本已重建</t>
    </r>
    <r>
      <rPr>
        <sz val="11"/>
        <color rgb="FF000000"/>
        <rFont val="Calibri"/>
        <family val="2"/>
        <charset val="1"/>
      </rPr>
      <t xml:space="preserve">(3.10-0.80=2.30)</t>
    </r>
  </si>
  <si>
    <r>
      <rPr>
        <sz val="11"/>
        <color rgb="FF000000"/>
        <rFont val="Noto Sans CJK SC"/>
        <family val="2"/>
      </rPr>
      <t xml:space="preserve">港币计价，汇率</t>
    </r>
    <r>
      <rPr>
        <sz val="11"/>
        <color rgb="FF000000"/>
        <rFont val="Calibri"/>
        <family val="2"/>
        <charset val="1"/>
      </rPr>
      <t xml:space="preserve">0.92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CJK SC"/>
        <family val="2"/>
      </rPr>
      <t xml:space="preserve">份整手</t>
    </r>
  </si>
  <si>
    <t xml:space="preserve">合计</t>
  </si>
  <si>
    <t xml:space="preserve">勾稽检验</t>
  </si>
  <si>
    <r>
      <rPr>
        <sz val="11"/>
        <color rgb="FF000000"/>
        <rFont val="Noto Sans CJK SC"/>
        <family val="2"/>
      </rPr>
      <t xml:space="preserve">证券市值合计 </t>
    </r>
    <r>
      <rPr>
        <sz val="11"/>
        <color rgb="FF000000"/>
        <rFont val="Calibri"/>
        <family val="2"/>
        <charset val="1"/>
      </rPr>
      <t xml:space="preserve">vs </t>
    </r>
    <r>
      <rPr>
        <sz val="11"/>
        <color rgb="FF000000"/>
        <rFont val="Noto Sans CJK SC"/>
        <family val="2"/>
      </rPr>
      <t xml:space="preserve">托管‘证券市值小计</t>
    </r>
    <r>
      <rPr>
        <sz val="11"/>
        <color rgb="FF000000"/>
        <rFont val="Calibri"/>
        <family val="2"/>
        <charset val="1"/>
      </rPr>
      <t xml:space="preserve">869820’</t>
    </r>
  </si>
  <si>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+USD</t>
    </r>
    <r>
      <rPr>
        <sz val="11"/>
        <color rgb="FF000000"/>
        <rFont val="Noto Sans CJK SC"/>
        <family val="2"/>
      </rPr>
      <t xml:space="preserve">折算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证券市值−待扣费用</t>
    </r>
  </si>
  <si>
    <r>
      <rPr>
        <sz val="11"/>
        <color rgb="FF000000"/>
        <rFont val="Noto Sans CJK SC"/>
        <family val="2"/>
      </rPr>
      <t xml:space="preserve">两口径总资产差额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托管−</t>
    </r>
    <r>
      <rPr>
        <sz val="11"/>
        <color rgb="FF000000"/>
        <rFont val="Calibri"/>
        <family val="2"/>
        <charset val="1"/>
      </rPr>
      <t xml:space="preserve">PM</t>
    </r>
    <r>
      <rPr>
        <sz val="11"/>
        <color rgb="FF000000"/>
        <rFont val="Noto Sans CJK SC"/>
        <family val="2"/>
      </rPr>
      <t xml:space="preserve">手工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</si>
  <si>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证券权重合计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应≈证券占比</t>
    </r>
    <r>
      <rPr>
        <sz val="11"/>
        <color rgb="FF000000"/>
        <rFont val="Calibri"/>
        <family val="2"/>
        <charset val="1"/>
      </rPr>
      <t xml:space="preserve">)</t>
    </r>
  </si>
  <si>
    <r>
      <rPr>
        <b val="true"/>
        <sz val="14"/>
        <color rgb="FF1F3864"/>
        <rFont val="Noto Sans CJK SC"/>
        <family val="2"/>
      </rPr>
      <t xml:space="preserve">交易日历（</t>
    </r>
    <r>
      <rPr>
        <b val="true"/>
        <sz val="14"/>
        <color rgb="FF1F3864"/>
        <rFont val="Cambria"/>
        <family val="0"/>
        <charset val="1"/>
      </rPr>
      <t xml:space="preserve">as-of 2026-08-14 </t>
    </r>
    <r>
      <rPr>
        <b val="true"/>
        <sz val="14"/>
        <color rgb="FF1F3864"/>
        <rFont val="Noto Sans CJK SC"/>
        <family val="2"/>
      </rPr>
      <t xml:space="preserve">周五 → 最迟行动日）</t>
    </r>
  </si>
  <si>
    <t xml:space="preserve">日历日</t>
  </si>
  <si>
    <t xml:space="preserve">星期</t>
  </si>
  <si>
    <t xml:space="preserve">是否交易日</t>
  </si>
  <si>
    <t xml:space="preserve">可执行时段</t>
  </si>
  <si>
    <t xml:space="preserve">资金可划转</t>
  </si>
  <si>
    <t xml:space="preserve">备注</t>
  </si>
  <si>
    <t xml:space="preserve">周五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</si>
  <si>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已收盘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</si>
  <si>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15:00</t>
    </r>
    <r>
      <rPr>
        <sz val="11"/>
        <color rgb="FF000000"/>
        <rFont val="Noto Sans CJK SC"/>
        <family val="2"/>
      </rPr>
      <t xml:space="preserve">后不可交易</t>
    </r>
  </si>
  <si>
    <t xml:space="preserve">已结算</t>
  </si>
  <si>
    <r>
      <rPr>
        <sz val="11"/>
        <color rgb="FF000000"/>
        <rFont val="Noto Sans CJK SC"/>
        <family val="2"/>
      </rPr>
      <t xml:space="preserve">截点；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跌停、</t>
    </r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停牌</t>
    </r>
  </si>
  <si>
    <t xml:space="preserve">周一</t>
  </si>
  <si>
    <t xml:space="preserve">09:30-15:00</t>
  </si>
  <si>
    <r>
      <rPr>
        <sz val="11"/>
        <color rgb="FF000000"/>
        <rFont val="Calibri"/>
        <family val="2"/>
        <charset val="1"/>
      </rPr>
      <t xml:space="preserve">T</t>
    </r>
    <r>
      <rPr>
        <sz val="11"/>
        <color rgb="FF000000"/>
        <rFont val="Noto Sans CJK SC"/>
        <family val="2"/>
      </rPr>
      <t xml:space="preserve">日可用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卖出</t>
    </r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到账前先用余额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</si>
  <si>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客户确认净转出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万；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当日买入批次解冻；调仓首个可执行日</t>
    </r>
  </si>
  <si>
    <t xml:space="preserve">2026-08-18</t>
  </si>
  <si>
    <t xml:space="preserve">周二</t>
  </si>
  <si>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资金可用</t>
    </r>
  </si>
  <si>
    <r>
      <rPr>
        <sz val="11"/>
        <color rgb="FF000000"/>
        <rFont val="Noto Sans CJK SC"/>
        <family val="2"/>
      </rPr>
      <t xml:space="preserve">周一卖出资金今日可用于再投资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划转；后手执行窗口</t>
    </r>
  </si>
  <si>
    <t xml:space="preserve">2026-08-19</t>
  </si>
  <si>
    <t xml:space="preserve">周三</t>
  </si>
  <si>
    <t xml:space="preserve">可用</t>
  </si>
  <si>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若仍跌停，继续后手；压力复核</t>
    </r>
  </si>
  <si>
    <t xml:space="preserve">2026-08-21</t>
  </si>
  <si>
    <t xml:space="preserve">首周调仓达标复核截止</t>
  </si>
  <si>
    <t xml:space="preserve">2026-08-24</t>
  </si>
  <si>
    <t xml:space="preserve">次周复核；若仍超限按规则补减</t>
  </si>
  <si>
    <r>
      <rPr>
        <i val="true"/>
        <sz val="11"/>
        <color rgb="FF808080"/>
        <rFont val="Noto Sans CJK SC"/>
        <family val="2"/>
      </rPr>
      <t xml:space="preserve">注：周末</t>
    </r>
    <r>
      <rPr>
        <i val="true"/>
        <sz val="11"/>
        <color rgb="FF808080"/>
        <rFont val="Cambria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节假日顺延到下一交易日；具体复牌日未确定，</t>
    </r>
    <r>
      <rPr>
        <i val="true"/>
        <sz val="11"/>
        <color rgb="FF808080"/>
        <rFont val="Cambria"/>
        <family val="0"/>
        <charset val="1"/>
      </rPr>
      <t xml:space="preserve">P04</t>
    </r>
    <r>
      <rPr>
        <i val="true"/>
        <sz val="11"/>
        <color rgb="FF808080"/>
        <rFont val="Noto Sans CJK SC"/>
        <family val="2"/>
      </rPr>
      <t xml:space="preserve">相关动作均为‘复牌后’。</t>
    </r>
  </si>
  <si>
    <t xml:space="preserve">交易明细：主方案整手卖出、费用、净回笼、扣费后实现盈亏</t>
  </si>
  <si>
    <r>
      <rPr>
        <b val="true"/>
        <sz val="11"/>
        <color rgb="FF1F3864"/>
        <rFont val="Noto Sans CJK SC"/>
        <family val="2"/>
      </rPr>
      <t xml:space="preserve">主方案（不依赖跌停</t>
    </r>
    <r>
      <rPr>
        <b val="true"/>
        <sz val="11"/>
        <color rgb="FF1F3864"/>
        <rFont val="Cambria"/>
        <family val="0"/>
        <charset val="1"/>
      </rPr>
      <t xml:space="preserve">P02</t>
    </r>
    <r>
      <rPr>
        <b val="true"/>
        <sz val="11"/>
        <color rgb="FF1F3864"/>
        <rFont val="Noto Sans CJK SC"/>
        <family val="2"/>
      </rPr>
      <t xml:space="preserve">；</t>
    </r>
    <r>
      <rPr>
        <b val="true"/>
        <sz val="11"/>
        <color rgb="FF1F3864"/>
        <rFont val="Cambria"/>
        <family val="0"/>
        <charset val="1"/>
      </rPr>
      <t xml:space="preserve">P04</t>
    </r>
    <r>
      <rPr>
        <b val="true"/>
        <sz val="11"/>
        <color rgb="FF1F3864"/>
        <rFont val="Noto Sans CJK SC"/>
        <family val="2"/>
      </rPr>
      <t xml:space="preserve">停牌不可卖）</t>
    </r>
  </si>
  <si>
    <t xml:space="preserve">标的</t>
  </si>
  <si>
    <t xml:space="preserve">卖出数量</t>
  </si>
  <si>
    <r>
      <rPr>
        <b val="true"/>
        <sz val="11"/>
        <color rgb="FFFFFFFF"/>
        <rFont val="Noto Sans CJK SC"/>
        <family val="2"/>
      </rPr>
      <t xml:space="preserve">成交价</t>
    </r>
    <r>
      <rPr>
        <b val="true"/>
        <sz val="11"/>
        <color rgb="FFFFFFFF"/>
        <rFont val="Cambria"/>
        <family val="0"/>
        <charset val="1"/>
      </rPr>
      <t xml:space="preserve">(RMB)</t>
    </r>
  </si>
  <si>
    <t xml:space="preserve">成交额</t>
  </si>
  <si>
    <t xml:space="preserve">佣金</t>
  </si>
  <si>
    <t xml:space="preserve">印花税</t>
  </si>
  <si>
    <t xml:space="preserve">港股费用</t>
  </si>
  <si>
    <t xml:space="preserve">费用合计</t>
  </si>
  <si>
    <t xml:space="preserve">净回笼</t>
  </si>
  <si>
    <r>
      <rPr>
        <b val="true"/>
        <sz val="11"/>
        <color rgb="FFFFFFFF"/>
        <rFont val="Noto Sans CJK SC"/>
        <family val="2"/>
      </rPr>
      <t xml:space="preserve">实现盈亏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扣费后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</si>
  <si>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交易后剩余持仓与组合指标</t>
  </si>
  <si>
    <t xml:space="preserve">剩余数量</t>
  </si>
  <si>
    <r>
      <rPr>
        <b val="true"/>
        <sz val="11"/>
        <color rgb="FFFFFFFF"/>
        <rFont val="Noto Sans CJK SC"/>
        <family val="2"/>
      </rPr>
      <t xml:space="preserve">剩余市值</t>
    </r>
    <r>
      <rPr>
        <b val="true"/>
        <sz val="11"/>
        <color rgb="FFFFFFFF"/>
        <rFont val="Cambria"/>
        <family val="0"/>
        <charset val="1"/>
      </rPr>
      <t xml:space="preserve">(RMB)</t>
    </r>
  </si>
  <si>
    <t xml:space="preserve">证券市值合计</t>
  </si>
  <si>
    <r>
      <rPr>
        <b val="true"/>
        <sz val="11"/>
        <color rgb="FF1F3864"/>
        <rFont val="Noto Sans CJK SC"/>
        <family val="2"/>
      </rPr>
      <t xml:space="preserve">划出后</t>
    </r>
    <r>
      <rPr>
        <b val="true"/>
        <sz val="11"/>
        <color rgb="FF1F3864"/>
        <rFont val="Cambria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未交易</t>
    </r>
    <r>
      <rPr>
        <b val="true"/>
        <sz val="11"/>
        <color rgb="FF1F3864"/>
        <rFont val="Cambria"/>
        <family val="0"/>
        <charset val="1"/>
      </rPr>
      <t xml:space="preserve">)RMB</t>
    </r>
    <r>
      <rPr>
        <b val="true"/>
        <sz val="11"/>
        <color rgb="FF1F3864"/>
        <rFont val="Noto Sans CJK SC"/>
        <family val="2"/>
      </rPr>
      <t xml:space="preserve">现金</t>
    </r>
  </si>
  <si>
    <t xml:space="preserve">卖出净回笼合计</t>
  </si>
  <si>
    <r>
      <rPr>
        <b val="true"/>
        <sz val="11"/>
        <color rgb="FF1F3864"/>
        <rFont val="Noto Sans CJK SC"/>
        <family val="2"/>
      </rPr>
      <t xml:space="preserve">交易后</t>
    </r>
    <r>
      <rPr>
        <b val="true"/>
        <sz val="11"/>
        <color rgb="FF1F3864"/>
        <rFont val="Cambria"/>
        <family val="0"/>
        <charset val="1"/>
      </rPr>
      <t xml:space="preserve">RMB</t>
    </r>
    <r>
      <rPr>
        <b val="true"/>
        <sz val="11"/>
        <color rgb="FF1F3864"/>
        <rFont val="Noto Sans CJK SC"/>
        <family val="2"/>
      </rPr>
      <t xml:space="preserve">现金</t>
    </r>
  </si>
  <si>
    <r>
      <rPr>
        <b val="true"/>
        <sz val="11"/>
        <color rgb="FF1F3864"/>
        <rFont val="Cambria"/>
        <family val="0"/>
        <charset val="1"/>
      </rPr>
      <t xml:space="preserve">USD</t>
    </r>
    <r>
      <rPr>
        <b val="true"/>
        <sz val="11"/>
        <color rgb="FF1F3864"/>
        <rFont val="Noto Sans CJK SC"/>
        <family val="2"/>
      </rPr>
      <t xml:space="preserve">现金折算</t>
    </r>
  </si>
  <si>
    <t xml:space="preserve">交易后证券市值</t>
  </si>
  <si>
    <r>
      <rPr>
        <b val="true"/>
        <sz val="11"/>
        <color rgb="FF1F3864"/>
        <rFont val="Noto Sans CJK SC"/>
        <family val="2"/>
      </rPr>
      <t xml:space="preserve">交易后</t>
    </r>
    <r>
      <rPr>
        <b val="true"/>
        <sz val="11"/>
        <color rgb="FF1F3864"/>
        <rFont val="Cambria"/>
        <family val="0"/>
        <charset val="1"/>
      </rPr>
      <t xml:space="preserve">NAV</t>
    </r>
  </si>
  <si>
    <r>
      <rPr>
        <b val="true"/>
        <sz val="11"/>
        <color rgb="FF1F3864"/>
        <rFont val="Cambria"/>
        <family val="0"/>
        <charset val="1"/>
      </rPr>
      <t xml:space="preserve">P05</t>
    </r>
    <r>
      <rPr>
        <b val="true"/>
        <sz val="11"/>
        <color rgb="FF1F3864"/>
        <rFont val="Noto Sans CJK SC"/>
        <family val="2"/>
      </rPr>
      <t xml:space="preserve">权重</t>
    </r>
  </si>
  <si>
    <r>
      <rPr>
        <b val="true"/>
        <sz val="11"/>
        <color rgb="FF1F3864"/>
        <rFont val="Noto Sans CJK SC"/>
        <family val="2"/>
      </rPr>
      <t xml:space="preserve">科技权重</t>
    </r>
    <r>
      <rPr>
        <b val="true"/>
        <sz val="11"/>
        <color rgb="FF1F3864"/>
        <rFont val="Cambria"/>
        <family val="0"/>
        <charset val="1"/>
      </rPr>
      <t xml:space="preserve">(P01+P02+P05+P07)</t>
    </r>
  </si>
  <si>
    <r>
      <rPr>
        <b val="true"/>
        <sz val="11"/>
        <color rgb="FF1F3864"/>
        <rFont val="Noto Sans CJK SC"/>
        <family val="2"/>
      </rPr>
      <t xml:space="preserve">高风险权重</t>
    </r>
    <r>
      <rPr>
        <b val="true"/>
        <sz val="11"/>
        <color rgb="FF1F3864"/>
        <rFont val="Cambria"/>
        <family val="0"/>
        <charset val="1"/>
      </rPr>
      <t xml:space="preserve">(P01+P02+P05)</t>
    </r>
  </si>
  <si>
    <r>
      <rPr>
        <b val="true"/>
        <sz val="11"/>
        <color rgb="FF1F3864"/>
        <rFont val="Noto Sans CJK SC"/>
        <family val="2"/>
      </rPr>
      <t xml:space="preserve">外币权重</t>
    </r>
    <r>
      <rPr>
        <b val="true"/>
        <sz val="11"/>
        <color rgb="FF1F3864"/>
        <rFont val="Cambria"/>
        <family val="0"/>
        <charset val="1"/>
      </rPr>
      <t xml:space="preserve">(P07+USD)</t>
    </r>
  </si>
  <si>
    <r>
      <rPr>
        <b val="true"/>
        <sz val="11"/>
        <color rgb="FF1F3864"/>
        <rFont val="Cambria"/>
        <family val="0"/>
        <charset val="1"/>
      </rPr>
      <t xml:space="preserve">RMB</t>
    </r>
    <r>
      <rPr>
        <b val="true"/>
        <sz val="11"/>
        <color rgb="FF1F3864"/>
        <rFont val="Noto Sans CJK SC"/>
        <family val="2"/>
      </rPr>
      <t xml:space="preserve">现金权重</t>
    </r>
  </si>
  <si>
    <r>
      <rPr>
        <b val="true"/>
        <sz val="14"/>
        <color rgb="FF1F3864"/>
        <rFont val="Cambria"/>
        <family val="0"/>
        <charset val="1"/>
      </rPr>
      <t xml:space="preserve">5</t>
    </r>
    <r>
      <rPr>
        <b val="true"/>
        <sz val="14"/>
        <color rgb="FF1F3864"/>
        <rFont val="Noto Sans CJK SC"/>
        <family val="2"/>
      </rPr>
      <t xml:space="preserve">万元净转出对现金与风险约束的影响（</t>
    </r>
    <r>
      <rPr>
        <b val="true"/>
        <sz val="14"/>
        <color rgb="FF1F3864"/>
        <rFont val="Cambria"/>
        <family val="0"/>
        <charset val="1"/>
      </rPr>
      <t xml:space="preserve">as-of → 8/17</t>
    </r>
    <r>
      <rPr>
        <b val="true"/>
        <sz val="14"/>
        <color rgb="FF1F3864"/>
        <rFont val="Noto Sans CJK SC"/>
        <family val="2"/>
      </rPr>
      <t xml:space="preserve">划出后）</t>
    </r>
  </si>
  <si>
    <t xml:space="preserve">项目</t>
  </si>
  <si>
    <r>
      <rPr>
        <b val="true"/>
        <sz val="11"/>
        <color rgb="FFFFFFFF"/>
        <rFont val="Noto Sans CJK SC"/>
        <family val="2"/>
      </rPr>
      <t xml:space="preserve">转出前</t>
    </r>
    <r>
      <rPr>
        <b val="true"/>
        <sz val="11"/>
        <color rgb="FFFFFFFF"/>
        <rFont val="Cambria"/>
        <family val="0"/>
        <charset val="1"/>
      </rPr>
      <t xml:space="preserve">(8/14)</t>
    </r>
  </si>
  <si>
    <r>
      <rPr>
        <b val="true"/>
        <sz val="11"/>
        <color rgb="FFFFFFFF"/>
        <rFont val="Noto Sans CJK SC"/>
        <family val="2"/>
      </rPr>
      <t xml:space="preserve">划出后未交易</t>
    </r>
    <r>
      <rPr>
        <b val="true"/>
        <sz val="11"/>
        <color rgb="FFFFFFFF"/>
        <rFont val="Cambria"/>
        <family val="0"/>
        <charset val="1"/>
      </rPr>
      <t xml:space="preserve">(8/17)</t>
    </r>
  </si>
  <si>
    <t xml:space="preserve">主方案交易后</t>
  </si>
  <si>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元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</si>
  <si>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USD</t>
    </r>
    <r>
      <rPr>
        <sz val="11"/>
        <color rgb="FF000000"/>
        <rFont val="Noto Sans CJK SC"/>
        <family val="2"/>
      </rPr>
      <t xml:space="preserve">现金折算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元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</si>
  <si>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证券市值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元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</si>
  <si>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待扣费用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元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</si>
  <si>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账户净资产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元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</si>
  <si>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现金占净资产</t>
    </r>
  </si>
  <si>
    <r>
      <rPr>
        <sz val="11"/>
        <color rgb="FF000000"/>
        <rFont val="Noto Sans CJK SC"/>
        <family val="2"/>
      </rPr>
      <t xml:space="preserve">是否满足现金≥</t>
    </r>
    <r>
      <rPr>
        <sz val="11"/>
        <color rgb="FF000000"/>
        <rFont val="Calibri"/>
        <family val="2"/>
        <charset val="1"/>
      </rPr>
      <t xml:space="preserve">10%(</t>
    </r>
    <r>
      <rPr>
        <sz val="11"/>
        <color rgb="FF000000"/>
        <rFont val="Noto Sans CJK SC"/>
        <family val="2"/>
      </rPr>
      <t xml:space="preserve">划出后</t>
    </r>
    <r>
      <rPr>
        <sz val="11"/>
        <color rgb="FF000000"/>
        <rFont val="Calibri"/>
        <family val="2"/>
        <charset val="1"/>
      </rPr>
      <t xml:space="preserve">)</t>
    </r>
  </si>
  <si>
    <t xml:space="preserve">—</t>
  </si>
  <si>
    <r>
      <rPr>
        <i val="true"/>
        <sz val="11"/>
        <color rgb="FFC00000"/>
        <rFont val="Noto Sans CJK SC"/>
        <family val="2"/>
      </rPr>
      <t xml:space="preserve">结论：转出</t>
    </r>
    <r>
      <rPr>
        <i val="true"/>
        <sz val="11"/>
        <color rgb="FFC00000"/>
        <rFont val="Cambria"/>
        <family val="0"/>
        <charset val="1"/>
      </rPr>
      <t xml:space="preserve">5</t>
    </r>
    <r>
      <rPr>
        <i val="true"/>
        <sz val="11"/>
        <color rgb="FFC00000"/>
        <rFont val="Noto Sans CJK SC"/>
        <family val="2"/>
      </rPr>
      <t xml:space="preserve">万使</t>
    </r>
    <r>
      <rPr>
        <i val="true"/>
        <sz val="11"/>
        <color rgb="FFC00000"/>
        <rFont val="Cambria"/>
        <family val="0"/>
        <charset val="1"/>
      </rPr>
      <t xml:space="preserve">RMB</t>
    </r>
    <r>
      <rPr>
        <i val="true"/>
        <sz val="11"/>
        <color rgb="FFC00000"/>
        <rFont val="Noto Sans CJK SC"/>
        <family val="2"/>
      </rPr>
      <t xml:space="preserve">现金占比由</t>
    </r>
    <r>
      <rPr>
        <i val="true"/>
        <sz val="11"/>
        <color rgb="FFC00000"/>
        <rFont val="Cambria"/>
        <family val="0"/>
        <charset val="1"/>
      </rPr>
      <t xml:space="preserve">13.8%</t>
    </r>
    <r>
      <rPr>
        <i val="true"/>
        <sz val="11"/>
        <color rgb="FFC00000"/>
        <rFont val="Noto Sans CJK SC"/>
        <family val="2"/>
      </rPr>
      <t xml:space="preserve">降至</t>
    </r>
    <r>
      <rPr>
        <i val="true"/>
        <sz val="11"/>
        <color rgb="FFC00000"/>
        <rFont val="Cambria"/>
        <family val="0"/>
        <charset val="1"/>
      </rPr>
      <t xml:space="preserve">9.4%</t>
    </r>
    <r>
      <rPr>
        <i val="true"/>
        <sz val="11"/>
        <color rgb="FFC00000"/>
        <rFont val="Noto Sans CJK SC"/>
        <family val="2"/>
      </rPr>
      <t xml:space="preserve">，跌破</t>
    </r>
    <r>
      <rPr>
        <i val="true"/>
        <sz val="11"/>
        <color rgb="FFC00000"/>
        <rFont val="Cambria"/>
        <family val="0"/>
        <charset val="1"/>
      </rPr>
      <t xml:space="preserve">10%</t>
    </r>
    <r>
      <rPr>
        <i val="true"/>
        <sz val="11"/>
        <color rgb="FFC00000"/>
        <rFont val="Noto Sans CJK SC"/>
        <family val="2"/>
      </rPr>
      <t xml:space="preserve">下限；必须在周一卖出变现补足，主方案卖出后</t>
    </r>
    <r>
      <rPr>
        <i val="true"/>
        <sz val="11"/>
        <color rgb="FFC00000"/>
        <rFont val="Cambria"/>
        <family val="0"/>
        <charset val="1"/>
      </rPr>
      <t xml:space="preserve">RMB</t>
    </r>
    <r>
      <rPr>
        <i val="true"/>
        <sz val="11"/>
        <color rgb="FFC00000"/>
        <rFont val="Noto Sans CJK SC"/>
        <family val="2"/>
      </rPr>
      <t xml:space="preserve">现金回升至约</t>
    </r>
    <r>
      <rPr>
        <i val="true"/>
        <sz val="11"/>
        <color rgb="FFC00000"/>
        <rFont val="Cambria"/>
        <family val="0"/>
        <charset val="1"/>
      </rPr>
      <t xml:space="preserve">39.7%</t>
    </r>
    <r>
      <rPr>
        <i val="true"/>
        <sz val="11"/>
        <color rgb="FFC00000"/>
        <rFont val="Noto Sans CJK SC"/>
        <family val="2"/>
      </rPr>
      <t xml:space="preserve">（同时压降科技与外币）。</t>
    </r>
  </si>
  <si>
    <r>
      <rPr>
        <b val="true"/>
        <sz val="14"/>
        <color rgb="FF1F3864"/>
        <rFont val="Noto Sans CJK SC"/>
        <family val="2"/>
      </rPr>
      <t xml:space="preserve">硬约束逐条判定：阈值</t>
    </r>
    <r>
      <rPr>
        <b val="true"/>
        <sz val="14"/>
        <color rgb="FF1F3864"/>
        <rFont val="Cambria"/>
        <family val="0"/>
        <charset val="1"/>
      </rPr>
      <t xml:space="preserve">/</t>
    </r>
    <r>
      <rPr>
        <b val="true"/>
        <sz val="14"/>
        <color rgb="FF1F3864"/>
        <rFont val="Noto Sans CJK SC"/>
        <family val="2"/>
      </rPr>
      <t xml:space="preserve">当前值</t>
    </r>
    <r>
      <rPr>
        <b val="true"/>
        <sz val="14"/>
        <color rgb="FF1F3864"/>
        <rFont val="Cambria"/>
        <family val="0"/>
        <charset val="1"/>
      </rPr>
      <t xml:space="preserve">/</t>
    </r>
    <r>
      <rPr>
        <b val="true"/>
        <sz val="14"/>
        <color rgb="FF1F3864"/>
        <rFont val="Noto Sans CJK SC"/>
        <family val="2"/>
      </rPr>
      <t xml:space="preserve">反解达标量</t>
    </r>
    <r>
      <rPr>
        <b val="true"/>
        <sz val="14"/>
        <color rgb="FF1F3864"/>
        <rFont val="Cambria"/>
        <family val="0"/>
        <charset val="1"/>
      </rPr>
      <t xml:space="preserve">/</t>
    </r>
    <r>
      <rPr>
        <b val="true"/>
        <sz val="14"/>
        <color rgb="FF1F3864"/>
        <rFont val="Noto Sans CJK SC"/>
        <family val="2"/>
      </rPr>
      <t xml:space="preserve">交易后值</t>
    </r>
    <r>
      <rPr>
        <b val="true"/>
        <sz val="14"/>
        <color rgb="FF1F3864"/>
        <rFont val="Cambria"/>
        <family val="0"/>
        <charset val="1"/>
      </rPr>
      <t xml:space="preserve">/</t>
    </r>
    <r>
      <rPr>
        <b val="true"/>
        <sz val="14"/>
        <color rgb="FF1F3864"/>
        <rFont val="Noto Sans CJK SC"/>
        <family val="2"/>
      </rPr>
      <t xml:space="preserve">判定</t>
    </r>
  </si>
  <si>
    <t xml:space="preserve">约束名</t>
  </si>
  <si>
    <t xml:space="preserve">题面阈值</t>
  </si>
  <si>
    <r>
      <rPr>
        <b val="true"/>
        <sz val="11"/>
        <color rgb="FFFFFFFF"/>
        <rFont val="Noto Sans CJK SC"/>
        <family val="2"/>
      </rPr>
      <t xml:space="preserve">当前值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划出后未交易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</si>
  <si>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达标所需反解值</t>
  </si>
  <si>
    <t xml:space="preserve">主方案交易后值</t>
  </si>
  <si>
    <t xml:space="preserve">偏好方案值</t>
  </si>
  <si>
    <t xml:space="preserve">判定</t>
  </si>
  <si>
    <r>
      <rPr>
        <b val="true"/>
        <sz val="11"/>
        <color rgb="FFFFFFFF"/>
        <rFont val="Noto Sans CJK SC"/>
        <family val="2"/>
      </rPr>
      <t xml:space="preserve">绑定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已消</t>
    </r>
  </si>
  <si>
    <t xml:space="preserve">相邻一手检验</t>
  </si>
  <si>
    <t xml:space="preserve">规则号</t>
  </si>
  <si>
    <r>
      <rPr>
        <sz val="11"/>
        <color rgb="FF000000"/>
        <rFont val="Noto Sans CJK SC"/>
        <family val="2"/>
      </rPr>
      <t xml:space="preserve">单票≤</t>
    </r>
    <r>
      <rPr>
        <sz val="11"/>
        <color rgb="FF000000"/>
        <rFont val="Calibri"/>
        <family val="2"/>
        <charset val="1"/>
      </rPr>
      <t xml:space="preserve">20% (P05)</t>
    </r>
  </si>
  <si>
    <t xml:space="preserve">20%</t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</si>
  <si>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减至≤</t>
    </r>
    <r>
      <rPr>
        <sz val="11"/>
        <color rgb="FF000000"/>
        <rFont val="Calibri"/>
        <family val="2"/>
        <charset val="1"/>
      </rPr>
      <t xml:space="preserve">189,000</t>
    </r>
    <r>
      <rPr>
        <sz val="11"/>
        <color rgb="FF000000"/>
        <rFont val="Noto Sans CJK SC"/>
        <family val="2"/>
      </rPr>
      <t xml:space="preserve">：卖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(2</t>
    </r>
    <r>
      <rPr>
        <sz val="11"/>
        <color rgb="FF000000"/>
        <rFont val="Noto Sans CJK SC"/>
        <family val="2"/>
      </rPr>
      <t xml:space="preserve">手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；少卖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手</t>
    </r>
    <r>
      <rPr>
        <sz val="11"/>
        <color rgb="FF000000"/>
        <rFont val="Calibri"/>
        <family val="2"/>
        <charset val="1"/>
      </rPr>
      <t xml:space="preserve">(100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)P05=20.31%</t>
    </r>
    <r>
      <rPr>
        <sz val="11"/>
        <color rgb="FF000000"/>
        <rFont val="Noto Sans CJK SC"/>
        <family val="2"/>
      </rPr>
      <t xml:space="preserve">仍超</t>
    </r>
  </si>
  <si>
    <r>
      <rPr>
        <sz val="11"/>
        <color rgb="FF000000"/>
        <rFont val="Noto Sans CJK SC"/>
        <family val="2"/>
      </rPr>
      <t xml:space="preserve">坚持不卖</t>
    </r>
    <r>
      <rPr>
        <sz val="11"/>
        <color rgb="FF000000"/>
        <rFont val="Calibri"/>
        <family val="2"/>
        <charset val="1"/>
      </rPr>
      <t xml:space="preserve">P05=21.4%</t>
    </r>
    <r>
      <rPr>
        <sz val="11"/>
        <color rgb="FF000000"/>
        <rFont val="Noto Sans CJK SC"/>
        <family val="2"/>
      </rPr>
      <t xml:space="preserve">，单票与科技同时超限</t>
    </r>
  </si>
  <si>
    <t xml:space="preserve">达标</t>
  </si>
  <si>
    <r>
      <rPr>
        <sz val="11"/>
        <color rgb="FF000000"/>
        <rFont val="Noto Sans CJK SC"/>
        <family val="2"/>
      </rPr>
      <t xml:space="preserve">已被</t>
    </r>
    <r>
      <rPr>
        <sz val="11"/>
        <color rgb="FF000000"/>
        <rFont val="Calibri"/>
        <family val="2"/>
        <charset val="1"/>
      </rPr>
      <t xml:space="preserve">R01</t>
    </r>
    <r>
      <rPr>
        <sz val="11"/>
        <color rgb="FF000000"/>
        <rFont val="Noto Sans CJK SC"/>
        <family val="2"/>
      </rPr>
      <t xml:space="preserve">消掉</t>
    </r>
  </si>
  <si>
    <r>
      <rPr>
        <sz val="11"/>
        <color rgb="FF000000"/>
        <rFont val="Noto Sans CJK SC"/>
        <family val="2"/>
      </rPr>
      <t xml:space="preserve">少卖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P05→P05 20.31%</t>
    </r>
    <r>
      <rPr>
        <sz val="11"/>
        <color rgb="FF000000"/>
        <rFont val="Noto Sans CJK SC"/>
        <family val="2"/>
      </rPr>
      <t xml:space="preserve">、科技</t>
    </r>
    <r>
      <rPr>
        <sz val="11"/>
        <color rgb="FF000000"/>
        <rFont val="Calibri"/>
        <family val="2"/>
        <charset val="1"/>
      </rPr>
      <t xml:space="preserve">41.01%</t>
    </r>
    <r>
      <rPr>
        <sz val="11"/>
        <color rgb="FF000000"/>
        <rFont val="Noto Sans CJK SC"/>
        <family val="2"/>
      </rPr>
      <t xml:space="preserve">，回超</t>
    </r>
  </si>
  <si>
    <t xml:space="preserve">R01/R02</t>
  </si>
  <si>
    <r>
      <rPr>
        <sz val="11"/>
        <color rgb="FF000000"/>
        <rFont val="Noto Sans CJK SC"/>
        <family val="2"/>
      </rPr>
      <t xml:space="preserve">科技主题≤</t>
    </r>
    <r>
      <rPr>
        <sz val="11"/>
        <color rgb="FF000000"/>
        <rFont val="Calibri"/>
        <family val="2"/>
        <charset val="1"/>
      </rPr>
      <t xml:space="preserve">40%</t>
    </r>
  </si>
  <si>
    <t xml:space="preserve">40%</t>
  </si>
  <si>
    <r>
      <rPr>
        <sz val="11"/>
        <color rgb="FF000000"/>
        <rFont val="Noto Sans CJK SC"/>
        <family val="2"/>
      </rPr>
      <t xml:space="preserve">科技由</t>
    </r>
    <r>
      <rPr>
        <sz val="11"/>
        <color rgb="FF000000"/>
        <rFont val="Calibri"/>
        <family val="2"/>
        <charset val="1"/>
      </rPr>
      <t xml:space="preserve">689,960</t>
    </r>
    <r>
      <rPr>
        <sz val="11"/>
        <color rgb="FF000000"/>
        <rFont val="Noto Sans CJK SC"/>
        <family val="2"/>
      </rPr>
      <t xml:space="preserve">压至≤约</t>
    </r>
    <r>
      <rPr>
        <sz val="11"/>
        <color rgb="FF000000"/>
        <rFont val="Calibri"/>
        <family val="2"/>
        <charset val="1"/>
      </rPr>
      <t xml:space="preserve">393,500</t>
    </r>
    <r>
      <rPr>
        <sz val="11"/>
        <color rgb="FF000000"/>
        <rFont val="Noto Sans CJK SC"/>
        <family val="2"/>
      </rPr>
      <t xml:space="preserve">：卖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全部</t>
    </r>
    <r>
      <rPr>
        <sz val="11"/>
        <color rgb="FF000000"/>
        <rFont val="Calibri"/>
        <family val="2"/>
        <charset val="1"/>
      </rPr>
      <t xml:space="preserve">5000+P05 200+P07 8000</t>
    </r>
  </si>
  <si>
    <r>
      <rPr>
        <sz val="11"/>
        <color rgb="FF000000"/>
        <rFont val="Noto Sans CJK SC"/>
        <family val="2"/>
      </rPr>
      <t xml:space="preserve">不调仓</t>
    </r>
    <r>
      <rPr>
        <sz val="11"/>
        <color rgb="FF000000"/>
        <rFont val="Calibri"/>
        <family val="2"/>
        <charset val="1"/>
      </rPr>
      <t xml:space="preserve">=70.2%</t>
    </r>
    <r>
      <rPr>
        <sz val="11"/>
        <color rgb="FF000000"/>
        <rFont val="Noto Sans CJK SC"/>
        <family val="2"/>
      </rPr>
      <t xml:space="preserve">，远超</t>
    </r>
    <r>
      <rPr>
        <sz val="11"/>
        <color rgb="FF000000"/>
        <rFont val="Calibri"/>
        <family val="2"/>
        <charset val="1"/>
      </rPr>
      <t xml:space="preserve">40%</t>
    </r>
  </si>
  <si>
    <r>
      <rPr>
        <sz val="11"/>
        <color rgb="FF000000"/>
        <rFont val="Noto Sans CJK SC"/>
        <family val="2"/>
      </rPr>
      <t xml:space="preserve">当前最紧约束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技术</t>
    </r>
    <r>
      <rPr>
        <sz val="11"/>
        <color rgb="FF000000"/>
        <rFont val="Calibri"/>
        <family val="2"/>
        <charset val="1"/>
      </rPr>
      <t xml:space="preserve">)=</t>
    </r>
    <r>
      <rPr>
        <sz val="11"/>
        <color rgb="FF000000"/>
        <rFont val="Noto Sans CJK SC"/>
        <family val="2"/>
      </rPr>
      <t xml:space="preserve">约</t>
    </r>
    <r>
      <rPr>
        <sz val="11"/>
        <color rgb="FF000000"/>
        <rFont val="Calibri"/>
        <family val="2"/>
        <charset val="1"/>
      </rPr>
      <t xml:space="preserve">40.0%</t>
    </r>
  </si>
  <si>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少卖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股→科技</t>
    </r>
    <r>
      <rPr>
        <sz val="11"/>
        <color rgb="FF000000"/>
        <rFont val="Calibri"/>
        <family val="2"/>
        <charset val="1"/>
      </rPr>
      <t xml:space="preserve">40.27%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少卖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CJK SC"/>
        <family val="2"/>
      </rPr>
      <t xml:space="preserve">份→</t>
    </r>
    <r>
      <rPr>
        <sz val="11"/>
        <color rgb="FF000000"/>
        <rFont val="Calibri"/>
        <family val="2"/>
        <charset val="1"/>
      </rPr>
      <t xml:space="preserve">40.65%</t>
    </r>
  </si>
  <si>
    <t xml:space="preserve">R01</t>
  </si>
  <si>
    <r>
      <rPr>
        <sz val="11"/>
        <color rgb="FF000000"/>
        <rFont val="Noto Sans CJK SC"/>
        <family val="2"/>
      </rPr>
      <t xml:space="preserve">高风险等级≤</t>
    </r>
    <r>
      <rPr>
        <sz val="11"/>
        <color rgb="FF000000"/>
        <rFont val="Calibri"/>
        <family val="2"/>
        <charset val="1"/>
      </rPr>
      <t xml:space="preserve">45%</t>
    </r>
  </si>
  <si>
    <t xml:space="preserve">45%</t>
  </si>
  <si>
    <r>
      <rPr>
        <sz val="11"/>
        <color rgb="FF000000"/>
        <rFont val="Noto Sans CJK SC"/>
        <family val="2"/>
      </rPr>
      <t xml:space="preserve">高风险由</t>
    </r>
    <r>
      <rPr>
        <sz val="11"/>
        <color rgb="FF000000"/>
        <rFont val="Calibri"/>
        <family val="2"/>
        <charset val="1"/>
      </rPr>
      <t xml:space="preserve">549,200</t>
    </r>
    <r>
      <rPr>
        <sz val="11"/>
        <color rgb="FF000000"/>
        <rFont val="Noto Sans CJK SC"/>
        <family val="2"/>
      </rPr>
      <t xml:space="preserve">压至≤约</t>
    </r>
    <r>
      <rPr>
        <sz val="11"/>
        <color rgb="FF000000"/>
        <rFont val="Calibri"/>
        <family val="2"/>
        <charset val="1"/>
      </rPr>
      <t xml:space="preserve">442,000</t>
    </r>
    <r>
      <rPr>
        <sz val="11"/>
        <color rgb="FF000000"/>
        <rFont val="Noto Sans CJK SC"/>
        <family val="2"/>
      </rPr>
      <t xml:space="preserve">；随</t>
    </r>
    <r>
      <rPr>
        <sz val="11"/>
        <color rgb="FF000000"/>
        <rFont val="Calibri"/>
        <family val="2"/>
        <charset val="1"/>
      </rPr>
      <t xml:space="preserve">R01</t>
    </r>
    <r>
      <rPr>
        <sz val="11"/>
        <color rgb="FF000000"/>
        <rFont val="Noto Sans CJK SC"/>
        <family val="2"/>
      </rPr>
      <t xml:space="preserve">同步完成</t>
    </r>
  </si>
  <si>
    <r>
      <rPr>
        <sz val="11"/>
        <color rgb="FF000000"/>
        <rFont val="Noto Sans CJK SC"/>
        <family val="2"/>
      </rPr>
      <t xml:space="preserve">不调仓</t>
    </r>
    <r>
      <rPr>
        <sz val="11"/>
        <color rgb="FF000000"/>
        <rFont val="Calibri"/>
        <family val="2"/>
        <charset val="1"/>
      </rPr>
      <t xml:space="preserve">=55.9%</t>
    </r>
  </si>
  <si>
    <t xml:space="preserve">随科技约束一并消掉</t>
  </si>
  <si>
    <r>
      <rPr>
        <sz val="11"/>
        <color rgb="FF000000"/>
        <rFont val="Noto Sans CJK SC"/>
        <family val="2"/>
      </rPr>
      <t xml:space="preserve">交易后</t>
    </r>
    <r>
      <rPr>
        <sz val="11"/>
        <color rgb="FF000000"/>
        <rFont val="Calibri"/>
        <family val="2"/>
        <charset val="1"/>
      </rPr>
      <t xml:space="preserve">37.1%</t>
    </r>
    <r>
      <rPr>
        <sz val="11"/>
        <color rgb="FF000000"/>
        <rFont val="Noto Sans CJK SC"/>
        <family val="2"/>
      </rPr>
      <t xml:space="preserve">，余量约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个百分点</t>
    </r>
  </si>
  <si>
    <r>
      <rPr>
        <sz val="11"/>
        <color rgb="FF000000"/>
        <rFont val="Noto Sans CJK SC"/>
        <family val="2"/>
      </rPr>
      <t xml:space="preserve">外币≤</t>
    </r>
    <r>
      <rPr>
        <sz val="11"/>
        <color rgb="FF000000"/>
        <rFont val="Calibri"/>
        <family val="2"/>
        <charset val="1"/>
      </rPr>
      <t xml:space="preserve">15%(</t>
    </r>
    <r>
      <rPr>
        <sz val="11"/>
        <color rgb="FF000000"/>
        <rFont val="Noto Sans CJK SC"/>
        <family val="2"/>
      </rPr>
      <t xml:space="preserve">含</t>
    </r>
    <r>
      <rPr>
        <sz val="11"/>
        <color rgb="FF000000"/>
        <rFont val="Calibri"/>
        <family val="2"/>
        <charset val="1"/>
      </rPr>
      <t xml:space="preserve">USD</t>
    </r>
    <r>
      <rPr>
        <sz val="11"/>
        <color rgb="FF000000"/>
        <rFont val="Noto Sans CJK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)</t>
    </r>
  </si>
  <si>
    <t xml:space="preserve">15%</t>
  </si>
  <si>
    <r>
      <rPr>
        <sz val="11"/>
        <color rgb="FF000000"/>
        <rFont val="Noto Sans CJK SC"/>
        <family val="2"/>
      </rPr>
      <t xml:space="preserve">外币</t>
    </r>
    <r>
      <rPr>
        <sz val="11"/>
        <color rgb="FF000000"/>
        <rFont val="Calibri"/>
        <family val="2"/>
        <charset val="1"/>
      </rPr>
      <t xml:space="preserve">(P07+USD)</t>
    </r>
    <r>
      <rPr>
        <sz val="11"/>
        <color rgb="FF000000"/>
        <rFont val="Noto Sans CJK SC"/>
        <family val="2"/>
      </rPr>
      <t xml:space="preserve">由</t>
    </r>
    <r>
      <rPr>
        <sz val="11"/>
        <color rgb="FF000000"/>
        <rFont val="Calibri"/>
        <family val="2"/>
        <charset val="1"/>
      </rPr>
      <t xml:space="preserve">162,300</t>
    </r>
    <r>
      <rPr>
        <sz val="11"/>
        <color rgb="FF000000"/>
        <rFont val="Noto Sans CJK SC"/>
        <family val="2"/>
      </rPr>
      <t xml:space="preserve">压至≤约</t>
    </r>
    <r>
      <rPr>
        <sz val="11"/>
        <color rgb="FF000000"/>
        <rFont val="Calibri"/>
        <family val="2"/>
        <charset val="1"/>
      </rPr>
      <t xml:space="preserve">147,000</t>
    </r>
    <r>
      <rPr>
        <sz val="11"/>
        <color rgb="FF000000"/>
        <rFont val="Noto Sans CJK SC"/>
        <family val="2"/>
      </rPr>
      <t xml:space="preserve">：卖</t>
    </r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至≤</t>
    </r>
    <r>
      <rPr>
        <sz val="11"/>
        <color rgb="FF000000"/>
        <rFont val="Calibri"/>
        <family val="2"/>
        <charset val="1"/>
      </rPr>
      <t xml:space="preserve">2,000</t>
    </r>
    <r>
      <rPr>
        <sz val="11"/>
        <color rgb="FF000000"/>
        <rFont val="Noto Sans CJK SC"/>
        <family val="2"/>
      </rPr>
      <t xml:space="preserve">份</t>
    </r>
  </si>
  <si>
    <r>
      <rPr>
        <sz val="11"/>
        <color rgb="FF000000"/>
        <rFont val="Noto Sans CJK SC"/>
        <family val="2"/>
      </rPr>
      <t xml:space="preserve">不调仓</t>
    </r>
    <r>
      <rPr>
        <sz val="11"/>
        <color rgb="FF000000"/>
        <rFont val="Calibri"/>
        <family val="2"/>
        <charset val="1"/>
      </rPr>
      <t xml:space="preserve">=16.5%</t>
    </r>
  </si>
  <si>
    <r>
      <rPr>
        <sz val="11"/>
        <color rgb="FF000000"/>
        <rFont val="Noto Sans CJK SC"/>
        <family val="2"/>
      </rPr>
      <t xml:space="preserve">随</t>
    </r>
    <r>
      <rPr>
        <sz val="11"/>
        <color rgb="FF000000"/>
        <rFont val="Calibri"/>
        <family val="2"/>
        <charset val="1"/>
      </rPr>
      <t xml:space="preserve">R01</t>
    </r>
    <r>
      <rPr>
        <sz val="11"/>
        <color rgb="FF000000"/>
        <rFont val="Noto Sans CJK SC"/>
        <family val="2"/>
      </rPr>
      <t xml:space="preserve">消掉</t>
    </r>
  </si>
  <si>
    <r>
      <rPr>
        <sz val="11"/>
        <color rgb="FF000000"/>
        <rFont val="Noto Sans CJK SC"/>
        <family val="2"/>
      </rPr>
      <t xml:space="preserve">交易后</t>
    </r>
    <r>
      <rPr>
        <sz val="11"/>
        <color rgb="FF000000"/>
        <rFont val="Calibri"/>
        <family val="2"/>
        <charset val="1"/>
      </rPr>
      <t xml:space="preserve">5.1%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USD</t>
    </r>
    <r>
      <rPr>
        <sz val="11"/>
        <color rgb="FF000000"/>
        <rFont val="Noto Sans CJK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21,540</t>
    </r>
    <r>
      <rPr>
        <sz val="11"/>
        <color rgb="FF000000"/>
        <rFont val="Noto Sans CJK SC"/>
        <family val="2"/>
      </rPr>
      <t xml:space="preserve">不可单方消除</t>
    </r>
  </si>
  <si>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现金≥</t>
    </r>
    <r>
      <rPr>
        <sz val="11"/>
        <color rgb="FF000000"/>
        <rFont val="Calibri"/>
        <family val="2"/>
        <charset val="1"/>
      </rPr>
      <t xml:space="preserve">10%(</t>
    </r>
    <r>
      <rPr>
        <sz val="11"/>
        <color rgb="FF000000"/>
        <rFont val="Noto Sans CJK SC"/>
        <family val="2"/>
      </rPr>
      <t xml:space="preserve">划出后</t>
    </r>
    <r>
      <rPr>
        <sz val="11"/>
        <color rgb="FF000000"/>
        <rFont val="Calibri"/>
        <family val="2"/>
        <charset val="1"/>
      </rPr>
      <t xml:space="preserve">)</t>
    </r>
  </si>
  <si>
    <t xml:space="preserve">10%</t>
  </si>
  <si>
    <r>
      <rPr>
        <sz val="11"/>
        <color rgb="FF000000"/>
        <rFont val="Noto Sans CJK SC"/>
        <family val="2"/>
      </rPr>
      <t xml:space="preserve">划出后</t>
    </r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现金仅</t>
    </r>
    <r>
      <rPr>
        <sz val="11"/>
        <color rgb="FF000000"/>
        <rFont val="Calibri"/>
        <family val="2"/>
        <charset val="1"/>
      </rPr>
      <t xml:space="preserve">92,500(9.4%)</t>
    </r>
    <r>
      <rPr>
        <sz val="11"/>
        <color rgb="FF000000"/>
        <rFont val="Noto Sans CJK SC"/>
        <family val="2"/>
      </rPr>
      <t xml:space="preserve">，须卖出变现补足至≥约</t>
    </r>
    <r>
      <rPr>
        <sz val="11"/>
        <color rgb="FF000000"/>
        <rFont val="Calibri"/>
        <family val="2"/>
        <charset val="1"/>
      </rPr>
      <t xml:space="preserve">98,300</t>
    </r>
  </si>
  <si>
    <r>
      <rPr>
        <sz val="11"/>
        <color rgb="FF000000"/>
        <rFont val="Noto Sans CJK SC"/>
        <family val="2"/>
      </rPr>
      <t xml:space="preserve">不调仓</t>
    </r>
    <r>
      <rPr>
        <sz val="11"/>
        <color rgb="FF000000"/>
        <rFont val="Calibri"/>
        <family val="2"/>
        <charset val="1"/>
      </rPr>
      <t xml:space="preserve">=9.4%</t>
    </r>
    <r>
      <rPr>
        <sz val="11"/>
        <color rgb="FF000000"/>
        <rFont val="Noto Sans CJK SC"/>
        <family val="2"/>
      </rPr>
      <t xml:space="preserve">，不达标</t>
    </r>
  </si>
  <si>
    <t xml:space="preserve">随卖出同步解决</t>
  </si>
  <si>
    <r>
      <rPr>
        <sz val="11"/>
        <color rgb="FF000000"/>
        <rFont val="Noto Sans CJK SC"/>
        <family val="2"/>
      </rPr>
      <t xml:space="preserve">交易后</t>
    </r>
    <r>
      <rPr>
        <sz val="11"/>
        <color rgb="FF000000"/>
        <rFont val="Calibri"/>
        <family val="2"/>
        <charset val="1"/>
      </rPr>
      <t xml:space="preserve">39.7%</t>
    </r>
    <r>
      <rPr>
        <sz val="11"/>
        <color rgb="FF000000"/>
        <rFont val="Noto Sans CJK SC"/>
        <family val="2"/>
      </rPr>
      <t xml:space="preserve">，流动性充裕</t>
    </r>
  </si>
  <si>
    <t xml:space="preserve">R01/R06</t>
  </si>
  <si>
    <r>
      <rPr>
        <b val="true"/>
        <sz val="14"/>
        <color rgb="FF1F3864"/>
        <rFont val="Noto Sans CJK SC"/>
        <family val="2"/>
      </rPr>
      <t xml:space="preserve">方案对比：未调整 </t>
    </r>
    <r>
      <rPr>
        <b val="true"/>
        <sz val="14"/>
        <color rgb="FF1F3864"/>
        <rFont val="Cambria"/>
        <family val="0"/>
        <charset val="1"/>
      </rPr>
      <t xml:space="preserve">/ PM</t>
    </r>
    <r>
      <rPr>
        <b val="true"/>
        <sz val="14"/>
        <color rgb="FF1F3864"/>
        <rFont val="Noto Sans CJK SC"/>
        <family val="2"/>
      </rPr>
      <t xml:space="preserve">偏好 </t>
    </r>
    <r>
      <rPr>
        <b val="true"/>
        <sz val="14"/>
        <color rgb="FF1F3864"/>
        <rFont val="Cambria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</rPr>
      <t xml:space="preserve">合规主方案</t>
    </r>
  </si>
  <si>
    <t xml:space="preserve">指标</t>
  </si>
  <si>
    <r>
      <rPr>
        <b val="true"/>
        <sz val="11"/>
        <color rgb="FFFFFFFF"/>
        <rFont val="Noto Sans CJK SC"/>
        <family val="2"/>
      </rPr>
      <t xml:space="preserve">未调整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划出后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</si>
  <si>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PM</t>
    </r>
    <r>
      <rPr>
        <b val="true"/>
        <sz val="11"/>
        <color rgb="FFFFFFFF"/>
        <rFont val="Noto Sans CJK SC"/>
        <family val="2"/>
      </rPr>
      <t xml:space="preserve">偏好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不卖</t>
    </r>
    <r>
      <rPr>
        <b val="true"/>
        <sz val="11"/>
        <color rgb="FFFFFFFF"/>
        <rFont val="Cambria"/>
        <family val="0"/>
        <charset val="1"/>
      </rPr>
      <t xml:space="preserve">P05)</t>
    </r>
  </si>
  <si>
    <t xml:space="preserve">合规主方案</t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</si>
  <si>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单票权重</t>
    </r>
  </si>
  <si>
    <t xml:space="preserve">21.37%</t>
  </si>
  <si>
    <t xml:space="preserve">偏好与未调整同样超限</t>
  </si>
  <si>
    <t xml:space="preserve">科技主题权重</t>
  </si>
  <si>
    <t xml:space="preserve">70.21%</t>
  </si>
  <si>
    <t xml:space="preserve">~55%*</t>
  </si>
  <si>
    <r>
      <rPr>
        <sz val="11"/>
        <color rgb="FF000000"/>
        <rFont val="Calibri"/>
        <family val="2"/>
        <charset val="1"/>
      </rPr>
      <t xml:space="preserve">*</t>
    </r>
    <r>
      <rPr>
        <sz val="11"/>
        <color rgb="FF000000"/>
        <rFont val="Noto Sans CJK SC"/>
        <family val="2"/>
      </rPr>
      <t xml:space="preserve">偏好卖</t>
    </r>
    <r>
      <rPr>
        <sz val="11"/>
        <color rgb="FF000000"/>
        <rFont val="Calibri"/>
        <family val="2"/>
        <charset val="1"/>
      </rPr>
      <t xml:space="preserve">P01/P07</t>
    </r>
    <r>
      <rPr>
        <sz val="11"/>
        <color rgb="FF000000"/>
        <rFont val="Noto Sans CJK SC"/>
        <family val="2"/>
      </rPr>
      <t xml:space="preserve">但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不动仍超限</t>
    </r>
  </si>
  <si>
    <t xml:space="preserve">高风险权重</t>
  </si>
  <si>
    <t xml:space="preserve">55.89%</t>
  </si>
  <si>
    <t xml:space="preserve">~45%*</t>
  </si>
  <si>
    <t xml:space="preserve">外币权重</t>
  </si>
  <si>
    <t xml:space="preserve">16.52%</t>
  </si>
  <si>
    <t xml:space="preserve">~14%*</t>
  </si>
  <si>
    <r>
      <rPr>
        <sz val="11"/>
        <color rgb="FF000000"/>
        <rFont val="Calibri"/>
        <family val="2"/>
        <charset val="1"/>
      </rPr>
      <t xml:space="preserve">USD</t>
    </r>
    <r>
      <rPr>
        <sz val="11"/>
        <color rgb="FF000000"/>
        <rFont val="Noto Sans CJK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21,540</t>
    </r>
    <r>
      <rPr>
        <sz val="11"/>
        <color rgb="FF000000"/>
        <rFont val="Noto Sans CJK SC"/>
        <family val="2"/>
      </rPr>
      <t xml:space="preserve">固定</t>
    </r>
  </si>
  <si>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现金权重</t>
    </r>
  </si>
  <si>
    <t xml:space="preserve">9.41%</t>
  </si>
  <si>
    <t xml:space="preserve">~30%*</t>
  </si>
  <si>
    <r>
      <rPr>
        <sz val="11"/>
        <color rgb="FF000000"/>
        <rFont val="Noto Sans CJK SC"/>
        <family val="2"/>
      </rPr>
      <t xml:space="preserve">划出后须≥</t>
    </r>
    <r>
      <rPr>
        <sz val="11"/>
        <color rgb="FF000000"/>
        <rFont val="Calibri"/>
        <family val="2"/>
        <charset val="1"/>
      </rPr>
      <t xml:space="preserve">10%</t>
    </r>
  </si>
  <si>
    <t xml:space="preserve">硬约束判定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</si>
  <si>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项中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项超限</t>
    </r>
  </si>
  <si>
    <r>
      <rPr>
        <sz val="11"/>
        <color rgb="FF000000"/>
        <rFont val="Noto Sans CJK SC"/>
        <family val="2"/>
      </rPr>
      <t xml:space="preserve">单票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仍超限</t>
    </r>
  </si>
  <si>
    <t xml:space="preserve">全部达标</t>
  </si>
  <si>
    <t xml:space="preserve">主方案为唯一同时满足全部硬约束的可执行路径</t>
  </si>
  <si>
    <r>
      <rPr>
        <sz val="11"/>
        <color rgb="FF000000"/>
        <rFont val="Noto Sans CJK SC"/>
        <family val="2"/>
      </rPr>
      <t xml:space="preserve">卖出总额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元</t>
    </r>
    <r>
      <rPr>
        <sz val="11"/>
        <color rgb="FF000000"/>
        <rFont val="Calibri"/>
        <family val="2"/>
        <charset val="1"/>
      </rPr>
      <t xml:space="preserve">)</t>
    </r>
  </si>
  <si>
    <t xml:space="preserve">0</t>
  </si>
  <si>
    <r>
      <rPr>
        <sz val="11"/>
        <color rgb="FF000000"/>
        <rFont val="Calibri"/>
        <family val="2"/>
        <charset val="1"/>
      </rPr>
      <t xml:space="preserve">~30</t>
    </r>
    <r>
      <rPr>
        <sz val="11"/>
        <color rgb="FF000000"/>
        <rFont val="Noto Sans CJK SC"/>
        <family val="2"/>
      </rPr>
      <t xml:space="preserve">万</t>
    </r>
  </si>
  <si>
    <r>
      <rPr>
        <sz val="11"/>
        <color rgb="FF000000"/>
        <rFont val="Noto Sans CJK SC"/>
        <family val="2"/>
      </rPr>
      <t xml:space="preserve">主方案含费用约</t>
    </r>
    <r>
      <rPr>
        <sz val="11"/>
        <color rgb="FF000000"/>
        <rFont val="Calibri"/>
        <family val="2"/>
        <charset val="1"/>
      </rPr>
      <t xml:space="preserve">261</t>
    </r>
    <r>
      <rPr>
        <sz val="11"/>
        <color rgb="FF000000"/>
        <rFont val="Noto Sans CJK SC"/>
        <family val="2"/>
      </rPr>
      <t xml:space="preserve">元</t>
    </r>
  </si>
  <si>
    <r>
      <rPr>
        <i val="true"/>
        <sz val="11"/>
        <color rgb="FFC00000"/>
        <rFont val="Cambria"/>
        <family val="0"/>
        <charset val="1"/>
      </rPr>
      <t xml:space="preserve">* PM</t>
    </r>
    <r>
      <rPr>
        <i val="true"/>
        <sz val="11"/>
        <color rgb="FFC00000"/>
        <rFont val="Noto Sans CJK SC"/>
        <family val="2"/>
      </rPr>
      <t xml:space="preserve">偏好‘</t>
    </r>
    <r>
      <rPr>
        <i val="true"/>
        <sz val="11"/>
        <color rgb="FFC00000"/>
        <rFont val="Cambria"/>
        <family val="0"/>
        <charset val="1"/>
      </rPr>
      <t xml:space="preserve">P05</t>
    </r>
    <r>
      <rPr>
        <i val="true"/>
        <sz val="11"/>
        <color rgb="FFC00000"/>
        <rFont val="Noto Sans CJK SC"/>
        <family val="2"/>
      </rPr>
      <t xml:space="preserve">长期看好暂不减持’未经客户批准、无风险例外审批，不能替代单票</t>
    </r>
    <r>
      <rPr>
        <i val="true"/>
        <sz val="11"/>
        <color rgb="FFC00000"/>
        <rFont val="Cambria"/>
        <family val="0"/>
        <charset val="1"/>
      </rPr>
      <t xml:space="preserve">20%</t>
    </r>
    <r>
      <rPr>
        <i val="true"/>
        <sz val="11"/>
        <color rgb="FFC00000"/>
        <rFont val="Noto Sans CJK SC"/>
        <family val="2"/>
      </rPr>
      <t xml:space="preserve">与科技</t>
    </r>
    <r>
      <rPr>
        <i val="true"/>
        <sz val="11"/>
        <color rgb="FFC00000"/>
        <rFont val="Cambria"/>
        <family val="0"/>
        <charset val="1"/>
      </rPr>
      <t xml:space="preserve">40%</t>
    </r>
    <r>
      <rPr>
        <i val="true"/>
        <sz val="11"/>
        <color rgb="FFC00000"/>
        <rFont val="Noto Sans CJK SC"/>
        <family val="2"/>
      </rPr>
      <t xml:space="preserve">上限；本表仅作对照，不作为执行依据。</t>
    </r>
  </si>
  <si>
    <t xml:space="preserve">情景与压力（后调仓组合；客户目标：控制回撤）</t>
  </si>
  <si>
    <r>
      <rPr>
        <b val="true"/>
        <sz val="11"/>
        <color rgb="FF1F3864"/>
        <rFont val="Noto Sans CJK SC"/>
        <family val="2"/>
      </rPr>
      <t xml:space="preserve">组合构成</t>
    </r>
    <r>
      <rPr>
        <b val="true"/>
        <sz val="11"/>
        <color rgb="FF1F3864"/>
        <rFont val="Cambria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交易后</t>
    </r>
    <r>
      <rPr>
        <b val="true"/>
        <sz val="11"/>
        <color rgb="FF1F3864"/>
        <rFont val="Cambria"/>
        <family val="0"/>
        <charset val="1"/>
      </rPr>
      <t xml:space="preserve">)</t>
    </r>
    <r>
      <rPr>
        <b val="true"/>
        <sz val="11"/>
        <color rgb="FF1F3864"/>
        <rFont val="Noto Sans CJK SC"/>
        <family val="2"/>
      </rPr>
      <t xml:space="preserve">：证券</t>
    </r>
    <r>
      <rPr>
        <b val="true"/>
        <sz val="11"/>
        <color rgb="FF1F3864"/>
        <rFont val="Cambria"/>
        <family val="0"/>
        <charset val="1"/>
      </rPr>
      <t xml:space="preserve">572,212 / RMB</t>
    </r>
    <r>
      <rPr>
        <b val="true"/>
        <sz val="11"/>
        <color rgb="FF1F3864"/>
        <rFont val="Noto Sans CJK SC"/>
        <family val="2"/>
      </rPr>
      <t xml:space="preserve">现金</t>
    </r>
    <r>
      <rPr>
        <b val="true"/>
        <sz val="11"/>
        <color rgb="FF1F3864"/>
        <rFont val="Cambria"/>
        <family val="0"/>
        <charset val="1"/>
      </rPr>
      <t xml:space="preserve">389,847 / USD</t>
    </r>
    <r>
      <rPr>
        <b val="true"/>
        <sz val="11"/>
        <color rgb="FF1F3864"/>
        <rFont val="Noto Sans CJK SC"/>
        <family val="2"/>
      </rPr>
      <t xml:space="preserve">折算</t>
    </r>
    <r>
      <rPr>
        <b val="true"/>
        <sz val="11"/>
        <color rgb="FF1F3864"/>
        <rFont val="Cambria"/>
        <family val="0"/>
        <charset val="1"/>
      </rPr>
      <t xml:space="preserve">21,540</t>
    </r>
    <r>
      <rPr>
        <b val="true"/>
        <sz val="11"/>
        <color rgb="FF1F3864"/>
        <rFont val="Noto Sans CJK SC"/>
        <family val="2"/>
      </rPr>
      <t xml:space="preserve">；科技</t>
    </r>
    <r>
      <rPr>
        <b val="true"/>
        <sz val="11"/>
        <color rgb="FF1F3864"/>
        <rFont val="Cambria"/>
        <family val="0"/>
        <charset val="1"/>
      </rPr>
      <t xml:space="preserve">392,352</t>
    </r>
    <r>
      <rPr>
        <b val="true"/>
        <sz val="11"/>
        <color rgb="FF1F3864"/>
        <rFont val="Noto Sans CJK SC"/>
        <family val="2"/>
      </rPr>
      <t xml:space="preserve">、非科技证券</t>
    </r>
    <r>
      <rPr>
        <b val="true"/>
        <sz val="11"/>
        <color rgb="FF1F3864"/>
        <rFont val="Cambria"/>
        <family val="0"/>
        <charset val="1"/>
      </rPr>
      <t xml:space="preserve">179,860</t>
    </r>
    <r>
      <rPr>
        <b val="true"/>
        <sz val="11"/>
        <color rgb="FF1F3864"/>
        <rFont val="Noto Sans CJK SC"/>
        <family val="2"/>
      </rPr>
      <t xml:space="preserve">。</t>
    </r>
  </si>
  <si>
    <t xml:space="preserve">情景</t>
  </si>
  <si>
    <t xml:space="preserve">冲击假设</t>
  </si>
  <si>
    <r>
      <rPr>
        <b val="true"/>
        <sz val="11"/>
        <color rgb="FFFFFFFF"/>
        <rFont val="Noto Sans CJK SC"/>
        <family val="2"/>
      </rPr>
      <t xml:space="preserve">逐日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一次性</t>
    </r>
  </si>
  <si>
    <r>
      <rPr>
        <b val="true"/>
        <sz val="11"/>
        <color rgb="FFFFFFFF"/>
        <rFont val="Noto Sans CJK SC"/>
        <family val="2"/>
      </rPr>
      <t xml:space="preserve">损失额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</si>
  <si>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损失率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后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</si>
  <si>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损失率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未调仓对照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</si>
  <si>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最不利</t>
  </si>
  <si>
    <t xml:space="preserve">上行</t>
  </si>
  <si>
    <r>
      <rPr>
        <sz val="11"/>
        <color rgb="FF000000"/>
        <rFont val="Noto Sans CJK SC"/>
        <family val="2"/>
      </rPr>
      <t xml:space="preserve">证券</t>
    </r>
    <r>
      <rPr>
        <sz val="11"/>
        <color rgb="FF000000"/>
        <rFont val="Calibri"/>
        <family val="2"/>
        <charset val="1"/>
      </rPr>
      <t xml:space="preserve">+8%</t>
    </r>
  </si>
  <si>
    <t xml:space="preserve">一次性</t>
  </si>
  <si>
    <t xml:space="preserve">横盘</t>
  </si>
  <si>
    <t xml:space="preserve">市场普跌</t>
  </si>
  <si>
    <r>
      <rPr>
        <sz val="11"/>
        <color rgb="FF000000"/>
        <rFont val="Noto Sans CJK SC"/>
        <family val="2"/>
      </rPr>
      <t xml:space="preserve">全部证券</t>
    </r>
    <r>
      <rPr>
        <sz val="11"/>
        <color rgb="FF000000"/>
        <rFont val="Calibri"/>
        <family val="2"/>
        <charset val="1"/>
      </rPr>
      <t xml:space="preserve">-10%</t>
    </r>
  </si>
  <si>
    <t xml:space="preserve">首日</t>
  </si>
  <si>
    <t xml:space="preserve">科技领跌</t>
  </si>
  <si>
    <r>
      <rPr>
        <sz val="11"/>
        <color rgb="FF000000"/>
        <rFont val="Noto Sans CJK SC"/>
        <family val="2"/>
      </rPr>
      <t xml:space="preserve">科技</t>
    </r>
    <r>
      <rPr>
        <sz val="11"/>
        <color rgb="FF000000"/>
        <rFont val="Calibri"/>
        <family val="2"/>
        <charset val="1"/>
      </rPr>
      <t xml:space="preserve">-15%</t>
    </r>
    <r>
      <rPr>
        <sz val="11"/>
        <color rgb="FF000000"/>
        <rFont val="Noto Sans CJK SC"/>
        <family val="2"/>
      </rPr>
      <t xml:space="preserve">、其余证券</t>
    </r>
    <r>
      <rPr>
        <sz val="11"/>
        <color rgb="FF000000"/>
        <rFont val="Calibri"/>
        <family val="2"/>
        <charset val="1"/>
      </rPr>
      <t xml:space="preserve">-5%</t>
    </r>
  </si>
  <si>
    <r>
      <rPr>
        <sz val="11"/>
        <color rgb="FF000000"/>
        <rFont val="Noto Sans CJK SC"/>
        <family val="2"/>
      </rPr>
      <t xml:space="preserve">首日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逐日未给定义</t>
    </r>
    <r>
      <rPr>
        <sz val="11"/>
        <color rgb="FF000000"/>
        <rFont val="Calibri"/>
        <family val="2"/>
        <charset val="1"/>
      </rPr>
      <t xml:space="preserve">)</t>
    </r>
  </si>
  <si>
    <r>
      <rPr>
        <i val="true"/>
        <sz val="11"/>
        <color rgb="FF1F3864"/>
        <rFont val="Noto Sans CJK SC"/>
        <family val="2"/>
      </rPr>
      <t xml:space="preserve">结论：最不利为‘科技领跌’情景，后调仓损失约</t>
    </r>
    <r>
      <rPr>
        <i val="true"/>
        <sz val="11"/>
        <color rgb="FF1F3864"/>
        <rFont val="Cambria"/>
        <family val="0"/>
        <charset val="1"/>
      </rPr>
      <t xml:space="preserve">6.9%</t>
    </r>
    <r>
      <rPr>
        <i val="true"/>
        <sz val="11"/>
        <color rgb="FF1F3864"/>
        <rFont val="Noto Sans CJK SC"/>
        <family val="2"/>
      </rPr>
      <t xml:space="preserve">（约</t>
    </r>
    <r>
      <rPr>
        <i val="true"/>
        <sz val="11"/>
        <color rgb="FF1F3864"/>
        <rFont val="Cambria"/>
        <family val="0"/>
        <charset val="1"/>
      </rPr>
      <t xml:space="preserve">6.8</t>
    </r>
    <r>
      <rPr>
        <i val="true"/>
        <sz val="11"/>
        <color rgb="FF1F3864"/>
        <rFont val="Noto Sans CJK SC"/>
        <family val="2"/>
      </rPr>
      <t xml:space="preserve">万），未调仓约</t>
    </r>
    <r>
      <rPr>
        <i val="true"/>
        <sz val="11"/>
        <color rgb="FF1F3864"/>
        <rFont val="Cambria"/>
        <family val="0"/>
        <charset val="1"/>
      </rPr>
      <t xml:space="preserve">11.5%</t>
    </r>
    <r>
      <rPr>
        <i val="true"/>
        <sz val="11"/>
        <color rgb="FF1F3864"/>
        <rFont val="Noto Sans CJK SC"/>
        <family val="2"/>
      </rPr>
      <t xml:space="preserve">（约</t>
    </r>
    <r>
      <rPr>
        <i val="true"/>
        <sz val="11"/>
        <color rgb="FF1F3864"/>
        <rFont val="Cambria"/>
        <family val="0"/>
        <charset val="1"/>
      </rPr>
      <t xml:space="preserve">11.2</t>
    </r>
    <r>
      <rPr>
        <i val="true"/>
        <sz val="11"/>
        <color rgb="FF1F3864"/>
        <rFont val="Noto Sans CJK SC"/>
        <family val="2"/>
      </rPr>
      <t xml:space="preserve">万）；调仓将尾部损失压低约</t>
    </r>
    <r>
      <rPr>
        <i val="true"/>
        <sz val="11"/>
        <color rgb="FF1F3864"/>
        <rFont val="Cambria"/>
        <family val="0"/>
        <charset val="1"/>
      </rPr>
      <t xml:space="preserve">4.6</t>
    </r>
    <r>
      <rPr>
        <i val="true"/>
        <sz val="11"/>
        <color rgb="FF1F3864"/>
        <rFont val="Noto Sans CJK SC"/>
        <family val="2"/>
      </rPr>
      <t xml:space="preserve">个百分点，与‘控制回撤’目标一致。</t>
    </r>
  </si>
  <si>
    <r>
      <rPr>
        <sz val="11"/>
        <color rgb="FF000000"/>
        <rFont val="Noto Sans CJK SC"/>
        <family val="2"/>
      </rPr>
      <t xml:space="preserve">执行情景：①</t>
    </r>
    <r>
      <rPr>
        <sz val="11"/>
        <color rgb="FF000000"/>
        <rFont val="Calibri"/>
        <family val="2"/>
        <charset val="1"/>
      </rPr>
      <t xml:space="preserve">P01/P05/P07</t>
    </r>
    <r>
      <rPr>
        <sz val="11"/>
        <color rgb="FF000000"/>
        <rFont val="Noto Sans CJK SC"/>
        <family val="2"/>
      </rPr>
      <t xml:space="preserve">周一正常成交→按</t>
    </r>
    <r>
      <rPr>
        <sz val="11"/>
        <color rgb="FF000000"/>
        <rFont val="Calibri"/>
        <family val="2"/>
        <charset val="1"/>
      </rPr>
      <t xml:space="preserve">R01</t>
    </r>
    <r>
      <rPr>
        <sz val="11"/>
        <color rgb="FF000000"/>
        <rFont val="Noto Sans CJK SC"/>
        <family val="2"/>
      </rPr>
      <t xml:space="preserve">；②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继续跌停→主方案不依赖，无需动作；③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或</t>
    </r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部分未成交→当日未成交量按</t>
    </r>
    <r>
      <rPr>
        <sz val="11"/>
        <color rgb="FF000000"/>
        <rFont val="Calibri"/>
        <family val="2"/>
        <charset val="1"/>
      </rPr>
      <t xml:space="preserve">R03/R02</t>
    </r>
    <r>
      <rPr>
        <sz val="11"/>
        <color rgb="FF000000"/>
        <rFont val="Noto Sans CJK SC"/>
        <family val="2"/>
      </rPr>
      <t xml:space="preserve">次日补，并按缺口重算权重，未补满不得记‘已合规’。</t>
    </r>
  </si>
  <si>
    <r>
      <rPr>
        <b val="true"/>
        <sz val="14"/>
        <color rgb="FF1F3864"/>
        <rFont val="Cambria"/>
        <family val="0"/>
        <charset val="1"/>
      </rPr>
      <t xml:space="preserve">if→then </t>
    </r>
    <r>
      <rPr>
        <b val="true"/>
        <sz val="14"/>
        <color rgb="FF1F3864"/>
        <rFont val="Noto Sans CJK SC"/>
        <family val="2"/>
      </rPr>
      <t xml:space="preserve">交易纪律（可执行；未成交后手单列）</t>
    </r>
  </si>
  <si>
    <r>
      <rPr>
        <b val="true"/>
        <sz val="11"/>
        <color rgb="FFFFFFFF"/>
        <rFont val="Noto Sans CJK SC"/>
        <family val="2"/>
      </rPr>
      <t xml:space="preserve">触发条件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阈值</t>
    </r>
    <r>
      <rPr>
        <b val="true"/>
        <sz val="11"/>
        <color rgb="FFFFFFFF"/>
        <rFont val="Cambria"/>
        <family val="0"/>
        <charset val="1"/>
      </rPr>
      <t xml:space="preserve">+</t>
    </r>
    <r>
      <rPr>
        <b val="true"/>
        <sz val="11"/>
        <color rgb="FFFFFFFF"/>
        <rFont val="Noto Sans CJK SC"/>
        <family val="2"/>
      </rPr>
      <t xml:space="preserve">截止时点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</si>
  <si>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方向自检</t>
  </si>
  <si>
    <t xml:space="preserve">动作</t>
  </si>
  <si>
    <r>
      <rPr>
        <b val="true"/>
        <sz val="11"/>
        <color rgb="FFFFFFFF"/>
        <rFont val="Noto Sans CJK SC"/>
        <family val="2"/>
      </rPr>
      <t xml:space="preserve">数量及口径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基准持仓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</si>
  <si>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目标权重</t>
  </si>
  <si>
    <r>
      <rPr>
        <b val="true"/>
        <sz val="11"/>
        <color rgb="FFFFFFFF"/>
        <rFont val="Noto Sans CJK SC"/>
        <family val="2"/>
      </rPr>
      <t xml:space="preserve">预计费用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净回笼</t>
    </r>
  </si>
  <si>
    <t xml:space="preserve">执行时点</t>
  </si>
  <si>
    <t xml:space="preserve">未成交后手</t>
  </si>
  <si>
    <t xml:space="preserve">交易后复核</t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</si>
  <si>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划出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万后，任一触发：</t>
    </r>
    <r>
      <rPr>
        <sz val="11"/>
        <color rgb="FF000000"/>
        <rFont val="Calibri"/>
        <family val="2"/>
        <charset val="1"/>
      </rPr>
      <t xml:space="preserve">P05&gt;20% </t>
    </r>
    <r>
      <rPr>
        <sz val="11"/>
        <color rgb="FF000000"/>
        <rFont val="Noto Sans CJK SC"/>
        <family val="2"/>
      </rPr>
      <t xml:space="preserve">或 科技</t>
    </r>
    <r>
      <rPr>
        <sz val="11"/>
        <color rgb="FF000000"/>
        <rFont val="Calibri"/>
        <family val="2"/>
        <charset val="1"/>
      </rPr>
      <t xml:space="preserve">&gt;40% </t>
    </r>
    <r>
      <rPr>
        <sz val="11"/>
        <color rgb="FF000000"/>
        <rFont val="Noto Sans CJK SC"/>
        <family val="2"/>
      </rPr>
      <t xml:space="preserve">或 </t>
    </r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&lt;10%</t>
    </r>
  </si>
  <si>
    <t xml:space="preserve">卖出科技使权重↓、现金↑，方向正确</t>
  </si>
  <si>
    <r>
      <rPr>
        <sz val="11"/>
        <color rgb="FF000000"/>
        <rFont val="Noto Sans CJK SC"/>
        <family val="2"/>
      </rPr>
      <t xml:space="preserve">限价卖出</t>
    </r>
    <r>
      <rPr>
        <sz val="11"/>
        <color rgb="FF000000"/>
        <rFont val="Calibri"/>
        <family val="2"/>
        <charset val="1"/>
      </rPr>
      <t xml:space="preserve">P01/P05/P07</t>
    </r>
  </si>
  <si>
    <r>
      <rPr>
        <sz val="11"/>
        <color rgb="FF000000"/>
        <rFont val="Calibri"/>
        <family val="2"/>
        <charset val="1"/>
      </rPr>
      <t xml:space="preserve">P01 5000+P05 200+P07 8000</t>
    </r>
    <r>
      <rPr>
        <sz val="11"/>
        <color rgb="FF000000"/>
        <rFont val="Noto Sans CJK SC"/>
        <family val="2"/>
      </rPr>
      <t xml:space="preserve">；累计总卖出量，基准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划出后持仓</t>
    </r>
  </si>
  <si>
    <r>
      <rPr>
        <sz val="11"/>
        <color rgb="FF000000"/>
        <rFont val="Noto Sans CJK SC"/>
        <family val="2"/>
      </rPr>
      <t xml:space="preserve">单票≤</t>
    </r>
    <r>
      <rPr>
        <sz val="11"/>
        <color rgb="FF000000"/>
        <rFont val="Calibri"/>
        <family val="2"/>
        <charset val="1"/>
      </rPr>
      <t xml:space="preserve">20%/</t>
    </r>
    <r>
      <rPr>
        <sz val="11"/>
        <color rgb="FF000000"/>
        <rFont val="Noto Sans CJK SC"/>
        <family val="2"/>
      </rPr>
      <t xml:space="preserve">科技≤</t>
    </r>
    <r>
      <rPr>
        <sz val="11"/>
        <color rgb="FF000000"/>
        <rFont val="Calibri"/>
        <family val="2"/>
        <charset val="1"/>
      </rPr>
      <t xml:space="preserve">40%/</t>
    </r>
    <r>
      <rPr>
        <sz val="11"/>
        <color rgb="FF000000"/>
        <rFont val="Noto Sans CJK SC"/>
        <family val="2"/>
      </rPr>
      <t xml:space="preserve">现金≥</t>
    </r>
    <r>
      <rPr>
        <sz val="11"/>
        <color rgb="FF000000"/>
        <rFont val="Calibri"/>
        <family val="2"/>
        <charset val="1"/>
      </rPr>
      <t xml:space="preserve">10%</t>
    </r>
  </si>
  <si>
    <r>
      <rPr>
        <sz val="11"/>
        <color rgb="FF000000"/>
        <rFont val="Noto Sans CJK SC"/>
        <family val="2"/>
      </rPr>
      <t xml:space="preserve">费用≈</t>
    </r>
    <r>
      <rPr>
        <sz val="11"/>
        <color rgb="FF000000"/>
        <rFont val="Calibri"/>
        <family val="2"/>
        <charset val="1"/>
      </rPr>
      <t xml:space="preserve">261</t>
    </r>
    <r>
      <rPr>
        <sz val="11"/>
        <color rgb="FF000000"/>
        <rFont val="Noto Sans CJK SC"/>
        <family val="2"/>
      </rPr>
      <t xml:space="preserve">，净回笼≈</t>
    </r>
    <r>
      <rPr>
        <sz val="11"/>
        <color rgb="FF000000"/>
        <rFont val="Calibri"/>
        <family val="2"/>
        <charset val="1"/>
      </rPr>
      <t xml:space="preserve">297,347</t>
    </r>
  </si>
  <si>
    <r>
      <rPr>
        <sz val="11"/>
        <color rgb="FF000000"/>
        <rFont val="Calibri"/>
        <family val="2"/>
        <charset val="1"/>
      </rPr>
      <t xml:space="preserve">8/17 09:30</t>
    </r>
    <r>
      <rPr>
        <sz val="11"/>
        <color rgb="FF000000"/>
        <rFont val="Noto Sans CJK SC"/>
        <family val="2"/>
      </rPr>
      <t xml:space="preserve">后，以对手价附近限价挂单</t>
    </r>
  </si>
  <si>
    <r>
      <rPr>
        <sz val="11"/>
        <color rgb="FF000000"/>
        <rFont val="Noto Sans CJK SC"/>
        <family val="2"/>
      </rPr>
      <t xml:space="preserve">未成交量不记已成交，转</t>
    </r>
    <r>
      <rPr>
        <sz val="11"/>
        <color rgb="FF000000"/>
        <rFont val="Calibri"/>
        <family val="2"/>
        <charset val="1"/>
      </rPr>
      <t xml:space="preserve">R02/R03</t>
    </r>
  </si>
  <si>
    <r>
      <rPr>
        <sz val="11"/>
        <color rgb="FF000000"/>
        <rFont val="Noto Sans CJK SC"/>
        <family val="2"/>
      </rPr>
      <t xml:space="preserve">当日收盘后核对交易明细</t>
    </r>
    <r>
      <rPr>
        <sz val="11"/>
        <color rgb="FF000000"/>
        <rFont val="Calibri"/>
        <family val="2"/>
        <charset val="1"/>
      </rPr>
      <t xml:space="preserve">B28:B32</t>
    </r>
  </si>
  <si>
    <t xml:space="preserve">R02</t>
  </si>
  <si>
    <r>
      <rPr>
        <sz val="11"/>
        <color rgb="FF000000"/>
        <rFont val="Calibri"/>
        <family val="2"/>
        <charset val="1"/>
      </rPr>
      <t xml:space="preserve">R01</t>
    </r>
    <r>
      <rPr>
        <sz val="11"/>
        <color rgb="FF000000"/>
        <rFont val="Noto Sans CJK SC"/>
        <family val="2"/>
      </rPr>
      <t xml:space="preserve">后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仍</t>
    </r>
    <r>
      <rPr>
        <sz val="11"/>
        <color rgb="FF000000"/>
        <rFont val="Calibri"/>
        <family val="2"/>
        <charset val="1"/>
      </rPr>
      <t xml:space="preserve">&gt;20%(</t>
    </r>
    <r>
      <rPr>
        <sz val="11"/>
        <color rgb="FF000000"/>
        <rFont val="Noto Sans CJK SC"/>
        <family val="2"/>
      </rPr>
      <t xml:space="preserve">如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未卖完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</si>
  <si>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权重仍超，需再减</t>
    </r>
  </si>
  <si>
    <r>
      <rPr>
        <sz val="11"/>
        <color rgb="FF000000"/>
        <rFont val="Noto Sans CJK SC"/>
        <family val="2"/>
      </rPr>
      <t xml:space="preserve">追加卖出</t>
    </r>
    <r>
      <rPr>
        <sz val="11"/>
        <color rgb="FF000000"/>
        <rFont val="Calibri"/>
        <family val="2"/>
        <charset val="1"/>
      </rPr>
      <t xml:space="preserve">P05</t>
    </r>
  </si>
  <si>
    <r>
      <rPr>
        <sz val="11"/>
        <color rgb="FF000000"/>
        <rFont val="Noto Sans CJK SC"/>
        <family val="2"/>
      </rPr>
      <t xml:space="preserve">按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当前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市值−</t>
    </r>
    <r>
      <rPr>
        <sz val="11"/>
        <color rgb="FF000000"/>
        <rFont val="Calibri"/>
        <family val="2"/>
        <charset val="1"/>
      </rPr>
      <t xml:space="preserve">0.195×NAV)/105</t>
    </r>
    <r>
      <rPr>
        <sz val="11"/>
        <color rgb="FF000000"/>
        <rFont val="Noto Sans CJK SC"/>
        <family val="2"/>
      </rPr>
      <t xml:space="preserve">向上取整手；本阶段追加量</t>
    </r>
  </si>
  <si>
    <t xml:space="preserve">P05≤19.5%</t>
  </si>
  <si>
    <r>
      <rPr>
        <sz val="11"/>
        <color rgb="FF000000"/>
        <rFont val="Noto Sans CJK SC"/>
        <family val="2"/>
      </rPr>
      <t xml:space="preserve">按</t>
    </r>
    <r>
      <rPr>
        <sz val="11"/>
        <color rgb="FF000000"/>
        <rFont val="Calibri"/>
        <family val="2"/>
        <charset val="1"/>
      </rPr>
      <t xml:space="preserve">0.08%</t>
    </r>
    <r>
      <rPr>
        <sz val="11"/>
        <color rgb="FF000000"/>
        <rFont val="Noto Sans CJK SC"/>
        <family val="2"/>
      </rPr>
      <t xml:space="preserve">费率估</t>
    </r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</si>
  <si>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盘中至</t>
    </r>
    <r>
      <rPr>
        <sz val="11"/>
        <color rgb="FF000000"/>
        <rFont val="Calibri"/>
        <family val="2"/>
        <charset val="1"/>
      </rPr>
      <t xml:space="preserve">8/18</t>
    </r>
  </si>
  <si>
    <t xml:space="preserve">若跌停则次日再挂，不追</t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</si>
  <si>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权重≤</t>
    </r>
    <r>
      <rPr>
        <sz val="11"/>
        <color rgb="FF000000"/>
        <rFont val="Calibri"/>
        <family val="2"/>
        <charset val="1"/>
      </rPr>
      <t xml:space="preserve">19.5%</t>
    </r>
  </si>
  <si>
    <t xml:space="preserve">R03</t>
  </si>
  <si>
    <r>
      <rPr>
        <sz val="11"/>
        <color rgb="FF000000"/>
        <rFont val="Calibri"/>
        <family val="2"/>
        <charset val="1"/>
      </rPr>
      <t xml:space="preserve">P01/P07</t>
    </r>
    <r>
      <rPr>
        <sz val="11"/>
        <color rgb="FF000000"/>
        <rFont val="Noto Sans CJK SC"/>
        <family val="2"/>
      </rPr>
      <t xml:space="preserve">订单未全额成交且科技仍</t>
    </r>
    <r>
      <rPr>
        <sz val="11"/>
        <color rgb="FF000000"/>
        <rFont val="Calibri"/>
        <family val="2"/>
        <charset val="1"/>
      </rPr>
      <t xml:space="preserve">&gt;40%</t>
    </r>
  </si>
  <si>
    <t xml:space="preserve">科技未达标，须继续减科技</t>
  </si>
  <si>
    <r>
      <rPr>
        <sz val="11"/>
        <color rgb="FF000000"/>
        <rFont val="Noto Sans CJK SC"/>
        <family val="2"/>
      </rPr>
      <t xml:space="preserve">次日补卖；若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已打开买盘可用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替代</t>
    </r>
  </si>
  <si>
    <t xml:space="preserve">缺口整手反解；本阶段追加量</t>
  </si>
  <si>
    <r>
      <rPr>
        <sz val="11"/>
        <color rgb="FF000000"/>
        <rFont val="Noto Sans CJK SC"/>
        <family val="2"/>
      </rPr>
      <t xml:space="preserve">科技≤</t>
    </r>
    <r>
      <rPr>
        <sz val="11"/>
        <color rgb="FF000000"/>
        <rFont val="Calibri"/>
        <family val="2"/>
        <charset val="1"/>
      </rPr>
      <t xml:space="preserve">40%</t>
    </r>
  </si>
  <si>
    <t xml:space="preserve">同费率</t>
  </si>
  <si>
    <r>
      <rPr>
        <sz val="11"/>
        <color rgb="FF000000"/>
        <rFont val="Calibri"/>
        <family val="2"/>
        <charset val="1"/>
      </rPr>
      <t xml:space="preserve">8/18</t>
    </r>
    <r>
      <rPr>
        <sz val="11"/>
        <color rgb="FF000000"/>
        <rFont val="Noto Sans CJK SC"/>
        <family val="2"/>
      </rPr>
      <t xml:space="preserve">开盘</t>
    </r>
  </si>
  <si>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仍跌停封单则不用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，改补</t>
    </r>
    <r>
      <rPr>
        <sz val="11"/>
        <color rgb="FF000000"/>
        <rFont val="Calibri"/>
        <family val="2"/>
        <charset val="1"/>
      </rPr>
      <t xml:space="preserve">P05</t>
    </r>
  </si>
  <si>
    <t xml:space="preserve">R04</t>
  </si>
  <si>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仍停牌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无买盘</t>
    </r>
  </si>
  <si>
    <t xml:space="preserve">停牌不可卖</t>
  </si>
  <si>
    <t xml:space="preserve">不挂单、不计入达标</t>
  </si>
  <si>
    <t xml:space="preserve">复牌前不操作</t>
  </si>
  <si>
    <r>
      <rPr>
        <sz val="11"/>
        <color rgb="FF000000"/>
        <rFont val="Noto Sans CJK SC"/>
        <family val="2"/>
      </rPr>
      <t xml:space="preserve">复牌后重估，属工业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中风险，不主动减</t>
    </r>
  </si>
  <si>
    <t xml:space="preserve">R05</t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</si>
  <si>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开盘前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的</t>
    </r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买入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股</t>
    </r>
  </si>
  <si>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前不可卖</t>
    </r>
  </si>
  <si>
    <t xml:space="preserve">不把当日买入计入可卖</t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</si>
  <si>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起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可卖</t>
    </r>
    <r>
      <rPr>
        <sz val="11"/>
        <color rgb="FF000000"/>
        <rFont val="Calibri"/>
        <family val="2"/>
        <charset val="1"/>
      </rPr>
      <t xml:space="preserve">=5000</t>
    </r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</si>
  <si>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起</t>
    </r>
  </si>
  <si>
    <r>
      <rPr>
        <sz val="11"/>
        <color rgb="FF000000"/>
        <rFont val="Noto Sans CJK SC"/>
        <family val="2"/>
      </rPr>
      <t xml:space="preserve">可卖台账</t>
    </r>
    <r>
      <rPr>
        <sz val="11"/>
        <color rgb="FF000000"/>
        <rFont val="Calibri"/>
        <family val="2"/>
        <charset val="1"/>
      </rPr>
      <t xml:space="preserve">=4000+1000</t>
    </r>
  </si>
  <si>
    <t xml:space="preserve">R06</t>
  </si>
  <si>
    <r>
      <rPr>
        <sz val="11"/>
        <color rgb="FF000000"/>
        <rFont val="Noto Sans CJK SC"/>
        <family val="2"/>
      </rPr>
      <t xml:space="preserve">任一复核时点</t>
    </r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&lt;10%</t>
    </r>
  </si>
  <si>
    <t xml:space="preserve">流动性不足</t>
  </si>
  <si>
    <r>
      <rPr>
        <sz val="11"/>
        <color rgb="FF000000"/>
        <rFont val="Noto Sans CJK SC"/>
        <family val="2"/>
      </rPr>
      <t xml:space="preserve">暂停一切买入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回补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做</t>
    </r>
    <r>
      <rPr>
        <sz val="11"/>
        <color rgb="FF000000"/>
        <rFont val="Calibri"/>
        <family val="2"/>
        <charset val="1"/>
      </rPr>
      <t xml:space="preserve">T</t>
    </r>
    <r>
      <rPr>
        <sz val="11"/>
        <color rgb="FF000000"/>
        <rFont val="Noto Sans CJK SC"/>
        <family val="2"/>
      </rPr>
      <t xml:space="preserve">；先卖后持</t>
    </r>
  </si>
  <si>
    <t xml:space="preserve">以卖出变现补足</t>
  </si>
  <si>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现金≥</t>
    </r>
    <r>
      <rPr>
        <sz val="11"/>
        <color rgb="FF000000"/>
        <rFont val="Calibri"/>
        <family val="2"/>
        <charset val="1"/>
      </rPr>
      <t xml:space="preserve">10%</t>
    </r>
  </si>
  <si>
    <t xml:space="preserve">持续</t>
  </si>
  <si>
    <t xml:space="preserve">有新增出款时重算</t>
  </si>
  <si>
    <r>
      <rPr>
        <sz val="11"/>
        <color rgb="FF000000"/>
        <rFont val="Noto Sans CJK SC"/>
        <family val="2"/>
      </rPr>
      <t xml:space="preserve">现金占比≥</t>
    </r>
    <r>
      <rPr>
        <sz val="11"/>
        <color rgb="FF000000"/>
        <rFont val="Calibri"/>
        <family val="2"/>
        <charset val="1"/>
      </rPr>
      <t xml:space="preserve">10%</t>
    </r>
  </si>
  <si>
    <t xml:space="preserve">R07</t>
  </si>
  <si>
    <r>
      <rPr>
        <sz val="11"/>
        <color rgb="FF000000"/>
        <rFont val="Noto Sans CJK SC"/>
        <family val="2"/>
      </rPr>
      <t xml:space="preserve">交易后科技因上涨重新</t>
    </r>
    <r>
      <rPr>
        <sz val="11"/>
        <color rgb="FF000000"/>
        <rFont val="Calibri"/>
        <family val="2"/>
        <charset val="1"/>
      </rPr>
      <t xml:space="preserve">&gt;40%(</t>
    </r>
    <r>
      <rPr>
        <sz val="11"/>
        <color rgb="FF000000"/>
        <rFont val="Noto Sans CJK SC"/>
        <family val="2"/>
      </rPr>
      <t xml:space="preserve">上涨使权重恶化</t>
    </r>
    <r>
      <rPr>
        <sz val="11"/>
        <color rgb="FF000000"/>
        <rFont val="Calibri"/>
        <family val="2"/>
        <charset val="1"/>
      </rPr>
      <t xml:space="preserve">)</t>
    </r>
  </si>
  <si>
    <t xml:space="preserve">价格上涨抬高科技占比，方向自检成立</t>
  </si>
  <si>
    <t xml:space="preserve">按超出部分整手减科技</t>
  </si>
  <si>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当前科技市值−</t>
    </r>
    <r>
      <rPr>
        <sz val="11"/>
        <color rgb="FF000000"/>
        <rFont val="Calibri"/>
        <family val="2"/>
        <charset val="1"/>
      </rPr>
      <t xml:space="preserve">0.39×NAV)/</t>
    </r>
    <r>
      <rPr>
        <sz val="11"/>
        <color rgb="FF000000"/>
        <rFont val="Noto Sans CJK SC"/>
        <family val="2"/>
      </rPr>
      <t xml:space="preserve">科技均价向上整手；追加量</t>
    </r>
  </si>
  <si>
    <r>
      <rPr>
        <sz val="11"/>
        <color rgb="FF000000"/>
        <rFont val="Noto Sans CJK SC"/>
        <family val="2"/>
      </rPr>
      <t xml:space="preserve">科技≤</t>
    </r>
    <r>
      <rPr>
        <sz val="11"/>
        <color rgb="FF000000"/>
        <rFont val="Calibri"/>
        <family val="2"/>
        <charset val="1"/>
      </rPr>
      <t xml:space="preserve">39%</t>
    </r>
  </si>
  <si>
    <t xml:space="preserve">出现即执行</t>
  </si>
  <si>
    <r>
      <rPr>
        <sz val="11"/>
        <color rgb="FF000000"/>
        <rFont val="Noto Sans CJK SC"/>
        <family val="2"/>
      </rPr>
      <t xml:space="preserve">若涨跌停转</t>
    </r>
    <r>
      <rPr>
        <sz val="11"/>
        <color rgb="FF000000"/>
        <rFont val="Calibri"/>
        <family val="2"/>
        <charset val="1"/>
      </rPr>
      <t xml:space="preserve">R03</t>
    </r>
  </si>
  <si>
    <r>
      <rPr>
        <sz val="11"/>
        <color rgb="FF000000"/>
        <rFont val="Noto Sans CJK SC"/>
        <family val="2"/>
      </rPr>
      <t xml:space="preserve">科技回到≤</t>
    </r>
    <r>
      <rPr>
        <sz val="11"/>
        <color rgb="FF000000"/>
        <rFont val="Calibri"/>
        <family val="2"/>
        <charset val="1"/>
      </rPr>
      <t xml:space="preserve">39%</t>
    </r>
  </si>
  <si>
    <t xml:space="preserve">R08</t>
  </si>
  <si>
    <r>
      <rPr>
        <sz val="11"/>
        <color rgb="FF000000"/>
        <rFont val="Calibri"/>
        <family val="2"/>
        <charset val="1"/>
      </rPr>
      <t xml:space="preserve">8/21</t>
    </r>
    <r>
      <rPr>
        <sz val="11"/>
        <color rgb="FF000000"/>
        <rFont val="Noto Sans CJK SC"/>
        <family val="2"/>
      </rPr>
      <t xml:space="preserve">收盘前复核；未达标</t>
    </r>
  </si>
  <si>
    <t xml:space="preserve">到期窗口</t>
  </si>
  <si>
    <r>
      <rPr>
        <sz val="11"/>
        <color rgb="FF000000"/>
        <rFont val="Noto Sans CJK SC"/>
        <family val="2"/>
      </rPr>
      <t xml:space="preserve">按缺口在</t>
    </r>
    <r>
      <rPr>
        <sz val="11"/>
        <color rgb="FF000000"/>
        <rFont val="Calibri"/>
        <family val="2"/>
        <charset val="1"/>
      </rPr>
      <t xml:space="preserve">8/24</t>
    </r>
    <r>
      <rPr>
        <sz val="11"/>
        <color rgb="FF000000"/>
        <rFont val="Noto Sans CJK SC"/>
        <family val="2"/>
      </rPr>
      <t xml:space="preserve">补减</t>
    </r>
  </si>
  <si>
    <t xml:space="preserve">整手反解；追加量</t>
  </si>
  <si>
    <r>
      <rPr>
        <sz val="11"/>
        <color rgb="FF000000"/>
        <rFont val="Noto Sans CJK SC"/>
        <family val="2"/>
      </rPr>
      <t xml:space="preserve">全部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条达标</t>
    </r>
  </si>
  <si>
    <t xml:space="preserve">8/24</t>
  </si>
  <si>
    <t xml:space="preserve">仍受限则挂牌监控并书面提示</t>
  </si>
  <si>
    <r>
      <rPr>
        <sz val="11"/>
        <color rgb="FF000000"/>
        <rFont val="Calibri"/>
        <family val="2"/>
        <charset val="1"/>
      </rPr>
      <t xml:space="preserve">8/24</t>
    </r>
    <r>
      <rPr>
        <sz val="11"/>
        <color rgb="FF000000"/>
        <rFont val="Noto Sans CJK SC"/>
        <family val="2"/>
      </rPr>
      <t xml:space="preserve">收盘后再核</t>
    </r>
  </si>
  <si>
    <t xml:space="preserve">假设、口径与缺失清单</t>
  </si>
  <si>
    <t xml:space="preserve">条目</t>
  </si>
  <si>
    <t xml:space="preserve">类型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</si>
  <si>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依据</t>
    </r>
  </si>
  <si>
    <t xml:space="preserve">影响哪些结论</t>
  </si>
  <si>
    <t xml:space="preserve">补齐后需重算什么</t>
  </si>
  <si>
    <r>
      <rPr>
        <sz val="11"/>
        <color rgb="FF000000"/>
        <rFont val="Noto Sans CJK SC"/>
        <family val="2"/>
      </rPr>
      <t xml:space="preserve">采用托管总资产</t>
    </r>
    <r>
      <rPr>
        <sz val="11"/>
        <color rgb="FF000000"/>
        <rFont val="Calibri"/>
        <family val="2"/>
        <charset val="1"/>
      </rPr>
      <t xml:space="preserve">1,032,660</t>
    </r>
    <r>
      <rPr>
        <sz val="11"/>
        <color rgb="FF000000"/>
        <rFont val="Noto Sans CJK SC"/>
        <family val="2"/>
      </rPr>
      <t xml:space="preserve">为主口径</t>
    </r>
  </si>
  <si>
    <t xml:space="preserve">已确认事实</t>
  </si>
  <si>
    <r>
      <rPr>
        <sz val="11"/>
        <color rgb="FF000000"/>
        <rFont val="Noto Sans CJK SC"/>
        <family val="2"/>
      </rPr>
      <t xml:space="preserve">明细逐项勾稽：</t>
    </r>
    <r>
      <rPr>
        <sz val="11"/>
        <color rgb="FF000000"/>
        <rFont val="Calibri"/>
        <family val="2"/>
        <charset val="1"/>
      </rPr>
      <t xml:space="preserve">869,820+142,500+21,540−1,200</t>
    </r>
  </si>
  <si>
    <t xml:space="preserve">全部权重与约束判定</t>
  </si>
  <si>
    <r>
      <rPr>
        <sz val="11"/>
        <color rgb="FF000000"/>
        <rFont val="Calibri"/>
        <family val="2"/>
        <charset val="1"/>
      </rPr>
      <t xml:space="preserve">PM</t>
    </r>
    <r>
      <rPr>
        <sz val="11"/>
        <color rgb="FF000000"/>
        <rFont val="Noto Sans CJK SC"/>
        <family val="2"/>
      </rPr>
      <t xml:space="preserve">手工总资产</t>
    </r>
    <r>
      <rPr>
        <sz val="11"/>
        <color rgb="FF000000"/>
        <rFont val="Calibri"/>
        <family val="2"/>
        <charset val="1"/>
      </rPr>
      <t xml:space="preserve">1,029,000</t>
    </r>
    <r>
      <rPr>
        <sz val="11"/>
        <color rgb="FF000000"/>
        <rFont val="Noto Sans CJK SC"/>
        <family val="2"/>
      </rPr>
      <t xml:space="preserve">差</t>
    </r>
    <r>
      <rPr>
        <sz val="11"/>
        <color rgb="FF000000"/>
        <rFont val="Calibri"/>
        <family val="2"/>
        <charset val="1"/>
      </rPr>
      <t xml:space="preserve">3,660</t>
    </r>
    <r>
      <rPr>
        <sz val="11"/>
        <color rgb="FF000000"/>
        <rFont val="Noto Sans CJK SC"/>
        <family val="2"/>
      </rPr>
      <t xml:space="preserve">元未决</t>
    </r>
  </si>
  <si>
    <t xml:space="preserve">仍缺证据</t>
  </si>
  <si>
    <t xml:space="preserve">附件未给差异来源</t>
  </si>
  <si>
    <t xml:space="preserve">权重绝对值；相对判定不变</t>
  </si>
  <si>
    <r>
      <rPr>
        <sz val="11"/>
        <color rgb="FF000000"/>
        <rFont val="Noto Sans CJK SC"/>
        <family val="2"/>
      </rPr>
      <t xml:space="preserve">取得</t>
    </r>
    <r>
      <rPr>
        <sz val="11"/>
        <color rgb="FF000000"/>
        <rFont val="Calibri"/>
        <family val="2"/>
        <charset val="1"/>
      </rPr>
      <t xml:space="preserve">PM</t>
    </r>
    <r>
      <rPr>
        <sz val="11"/>
        <color rgb="FF000000"/>
        <rFont val="Noto Sans CJK SC"/>
        <family val="2"/>
      </rPr>
      <t xml:space="preserve">底稿后重算分母与各权重</t>
    </r>
  </si>
  <si>
    <r>
      <rPr>
        <sz val="11"/>
        <color rgb="FF000000"/>
        <rFont val="Calibri"/>
        <family val="2"/>
        <charset val="1"/>
      </rPr>
      <t xml:space="preserve">P06</t>
    </r>
    <r>
      <rPr>
        <sz val="11"/>
        <color rgb="FF000000"/>
        <rFont val="Noto Sans CJK SC"/>
        <family val="2"/>
      </rPr>
      <t xml:space="preserve">成本已重建为</t>
    </r>
    <r>
      <rPr>
        <sz val="11"/>
        <color rgb="FF000000"/>
        <rFont val="Calibri"/>
        <family val="2"/>
        <charset val="1"/>
      </rPr>
      <t xml:space="preserve">2.30(3.10−0.80</t>
    </r>
    <r>
      <rPr>
        <sz val="11"/>
        <color rgb="FF000000"/>
        <rFont val="Noto Sans CJK SC"/>
        <family val="2"/>
      </rPr>
      <t xml:space="preserve">分红</t>
    </r>
    <r>
      <rPr>
        <sz val="11"/>
        <color rgb="FF000000"/>
        <rFont val="Calibri"/>
        <family val="2"/>
        <charset val="1"/>
      </rPr>
      <t xml:space="preserve">)</t>
    </r>
  </si>
  <si>
    <t xml:space="preserve">合理推断</t>
  </si>
  <si>
    <r>
      <rPr>
        <sz val="11"/>
        <color rgb="FF000000"/>
        <rFont val="Noto Sans CJK SC"/>
        <family val="2"/>
      </rPr>
      <t xml:space="preserve">文档第四节；除息参考价</t>
    </r>
    <r>
      <rPr>
        <sz val="11"/>
        <color rgb="FF000000"/>
        <rFont val="Calibri"/>
        <family val="2"/>
        <charset val="1"/>
      </rPr>
      <t xml:space="preserve">2.88</t>
    </r>
  </si>
  <si>
    <r>
      <rPr>
        <sz val="11"/>
        <color rgb="FF000000"/>
        <rFont val="Calibri"/>
        <family val="2"/>
        <charset val="1"/>
      </rPr>
      <t xml:space="preserve">P06</t>
    </r>
    <r>
      <rPr>
        <sz val="11"/>
        <color rgb="FF000000"/>
        <rFont val="Noto Sans CJK SC"/>
        <family val="2"/>
      </rPr>
      <t xml:space="preserve">浮盈由</t>
    </r>
    <r>
      <rPr>
        <sz val="11"/>
        <color rgb="FF000000"/>
        <rFont val="Calibri"/>
        <family val="2"/>
        <charset val="1"/>
      </rPr>
      <t xml:space="preserve">-2,200</t>
    </r>
    <r>
      <rPr>
        <sz val="11"/>
        <color rgb="FF000000"/>
        <rFont val="Noto Sans CJK SC"/>
        <family val="2"/>
      </rPr>
      <t xml:space="preserve">改为</t>
    </r>
    <r>
      <rPr>
        <sz val="11"/>
        <color rgb="FF000000"/>
        <rFont val="Calibri"/>
        <family val="2"/>
        <charset val="1"/>
      </rPr>
      <t xml:space="preserve">+5,800</t>
    </r>
  </si>
  <si>
    <t xml:space="preserve">若分红未到账则回退</t>
  </si>
  <si>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单位成本用加权平均</t>
    </r>
    <r>
      <rPr>
        <sz val="11"/>
        <color rgb="FF000000"/>
        <rFont val="Calibri"/>
        <family val="2"/>
        <charset val="1"/>
      </rPr>
      <t xml:space="preserve">39.23</t>
    </r>
  </si>
  <si>
    <t xml:space="preserve">三批次数量加权</t>
  </si>
  <si>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实现盈亏</t>
    </r>
  </si>
  <si>
    <t xml:space="preserve">改用先进先出法时重算实现盈亏</t>
  </si>
  <si>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卖出按人民币净回笼、外币资产同步下降</t>
    </r>
  </si>
  <si>
    <r>
      <rPr>
        <sz val="11"/>
        <color rgb="FF000000"/>
        <rFont val="Noto Sans CJK SC"/>
        <family val="2"/>
      </rPr>
      <t xml:space="preserve">合理推断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待确认</t>
    </r>
  </si>
  <si>
    <r>
      <rPr>
        <sz val="11"/>
        <color rgb="FF000000"/>
        <rFont val="Noto Sans CJK SC"/>
        <family val="2"/>
      </rPr>
      <t xml:space="preserve">账户仅有</t>
    </r>
    <r>
      <rPr>
        <sz val="11"/>
        <color rgb="FF000000"/>
        <rFont val="Calibri"/>
        <family val="2"/>
        <charset val="1"/>
      </rPr>
      <t xml:space="preserve">USD</t>
    </r>
    <r>
      <rPr>
        <sz val="11"/>
        <color rgb="FF000000"/>
        <rFont val="Noto Sans CJK SC"/>
        <family val="2"/>
      </rPr>
      <t xml:space="preserve">现金无</t>
    </r>
    <r>
      <rPr>
        <sz val="11"/>
        <color rgb="FF000000"/>
        <rFont val="Calibri"/>
        <family val="2"/>
        <charset val="1"/>
      </rPr>
      <t xml:space="preserve">HKD</t>
    </r>
    <r>
      <rPr>
        <sz val="11"/>
        <color rgb="FF000000"/>
        <rFont val="Noto Sans CJK SC"/>
        <family val="2"/>
      </rPr>
      <t xml:space="preserve">现金记录</t>
    </r>
  </si>
  <si>
    <t xml:space="preserve">外币约束与现金回升</t>
  </si>
  <si>
    <r>
      <rPr>
        <sz val="11"/>
        <color rgb="FF000000"/>
        <rFont val="Noto Sans CJK SC"/>
        <family val="2"/>
      </rPr>
      <t xml:space="preserve">若实际为</t>
    </r>
    <r>
      <rPr>
        <sz val="11"/>
        <color rgb="FF000000"/>
        <rFont val="Calibri"/>
        <family val="2"/>
        <charset val="1"/>
      </rPr>
      <t xml:space="preserve">HKD</t>
    </r>
    <r>
      <rPr>
        <sz val="11"/>
        <color rgb="FF000000"/>
        <rFont val="Noto Sans CJK SC"/>
        <family val="2"/>
      </rPr>
      <t xml:space="preserve">到账，外币下降幅度与现金口径需重算</t>
    </r>
  </si>
  <si>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市值用</t>
    </r>
    <r>
      <rPr>
        <sz val="11"/>
        <color rgb="FF000000"/>
        <rFont val="Calibri"/>
        <family val="2"/>
        <charset val="1"/>
      </rPr>
      <t xml:space="preserve">8/13</t>
    </r>
    <r>
      <rPr>
        <sz val="11"/>
        <color rgb="FF000000"/>
        <rFont val="Noto Sans CJK SC"/>
        <family val="2"/>
      </rPr>
      <t xml:space="preserve">价</t>
    </r>
    <r>
      <rPr>
        <sz val="11"/>
        <color rgb="FF000000"/>
        <rFont val="Calibri"/>
        <family val="2"/>
        <charset val="1"/>
      </rPr>
      <t xml:space="preserve">12.35</t>
    </r>
  </si>
  <si>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全天停牌</t>
    </r>
  </si>
  <si>
    <t xml:space="preserve">权重为近似，复牌后重估</t>
  </si>
  <si>
    <t xml:space="preserve">复牌价确定后重算</t>
  </si>
  <si>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跌停，主方案不依赖其成交</t>
    </r>
  </si>
  <si>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收盘封单</t>
    </r>
  </si>
  <si>
    <t xml:space="preserve">方案可执行性</t>
  </si>
  <si>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打开后可作</t>
    </r>
    <r>
      <rPr>
        <sz val="11"/>
        <color rgb="FF000000"/>
        <rFont val="Calibri"/>
        <family val="2"/>
        <charset val="1"/>
      </rPr>
      <t xml:space="preserve">R03</t>
    </r>
    <r>
      <rPr>
        <sz val="11"/>
        <color rgb="FF000000"/>
        <rFont val="Noto Sans CJK SC"/>
        <family val="2"/>
      </rPr>
      <t xml:space="preserve">替代</t>
    </r>
  </si>
  <si>
    <t xml:space="preserve">无完整相关系数矩阵，风险贡献仅按波动率加权近似</t>
  </si>
  <si>
    <r>
      <rPr>
        <sz val="11"/>
        <color rgb="FF000000"/>
        <rFont val="Noto Sans CJK SC"/>
        <family val="2"/>
      </rPr>
      <t xml:space="preserve">仅提供与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相关系数</t>
    </r>
  </si>
  <si>
    <r>
      <rPr>
        <sz val="11"/>
        <color rgb="FF000000"/>
        <rFont val="Noto Sans CJK SC"/>
        <family val="2"/>
      </rPr>
      <t xml:space="preserve">尾部风险定性，不作精确</t>
    </r>
    <r>
      <rPr>
        <sz val="11"/>
        <color rgb="FF000000"/>
        <rFont val="Calibri"/>
        <family val="2"/>
        <charset val="1"/>
      </rPr>
      <t xml:space="preserve">CVaR</t>
    </r>
  </si>
  <si>
    <t xml:space="preserve">取得全协方差后补风险贡献分解</t>
  </si>
  <si>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CJK SC"/>
        <family val="2"/>
      </rPr>
      <t xml:space="preserve">个月无目标收益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止损线，情景为示意</t>
    </r>
  </si>
  <si>
    <r>
      <rPr>
        <sz val="11"/>
        <color rgb="FF000000"/>
        <rFont val="Noto Sans CJK SC"/>
        <family val="2"/>
      </rPr>
      <t xml:space="preserve">客户仅给‘控回撤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流动性’</t>
    </r>
  </si>
  <si>
    <t xml:space="preserve">压力档选择</t>
  </si>
  <si>
    <t xml:space="preserve">客户给出回撤预算后重定阈值</t>
  </si>
  <si>
    <t xml:space="preserve">本稿仅调仓前分析，未下单</t>
  </si>
  <si>
    <t xml:space="preserve">文档末段</t>
  </si>
  <si>
    <r>
      <rPr>
        <b val="true"/>
        <sz val="14"/>
        <color rgb="FF1F3864"/>
        <rFont val="Noto Sans CJK SC"/>
        <family val="2"/>
      </rPr>
      <t xml:space="preserve">核验表：关键指标公式与重算（</t>
    </r>
    <r>
      <rPr>
        <b val="true"/>
        <sz val="14"/>
        <color rgb="FF1F3864"/>
        <rFont val="Cambria"/>
        <family val="0"/>
        <charset val="1"/>
      </rPr>
      <t xml:space="preserve">LibreOffice </t>
    </r>
    <r>
      <rPr>
        <b val="true"/>
        <sz val="14"/>
        <color rgb="FF1F3864"/>
        <rFont val="Noto Sans CJK SC"/>
        <family val="2"/>
      </rPr>
      <t xml:space="preserve">重算后填值）</t>
    </r>
  </si>
  <si>
    <t xml:space="preserve">被核验指标</t>
  </si>
  <si>
    <t xml:space="preserve">取值所在单元格</t>
  </si>
  <si>
    <t xml:space="preserve">公式原文</t>
  </si>
  <si>
    <t xml:space="preserve">重算值</t>
  </si>
  <si>
    <t xml:space="preserve">与正文一致</t>
  </si>
  <si>
    <r>
      <rPr>
        <sz val="11"/>
        <color rgb="FF000000"/>
        <rFont val="Noto Sans CJK SC"/>
        <family val="2"/>
      </rPr>
      <t xml:space="preserve">持仓勾稽</t>
    </r>
    <r>
      <rPr>
        <sz val="11"/>
        <color rgb="FF000000"/>
        <rFont val="Calibri"/>
        <family val="2"/>
        <charset val="1"/>
      </rPr>
      <t xml:space="preserve">!J20</t>
    </r>
  </si>
  <si>
    <t xml:space="preserve">SUM(J13:J19)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</si>
  <si>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</t>
    </r>
    <r>
      <rPr>
        <sz val="11"/>
        <color rgb="FF000000"/>
        <rFont val="Calibri"/>
        <family val="2"/>
        <charset val="1"/>
      </rPr>
      <t xml:space="preserve">=869,820)</t>
    </r>
  </si>
  <si>
    <r>
      <rPr>
        <sz val="11"/>
        <color rgb="FF000000"/>
        <rFont val="Noto Sans CJK SC"/>
        <family val="2"/>
      </rPr>
      <t xml:space="preserve">资产重算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托管</t>
    </r>
    <r>
      <rPr>
        <sz val="11"/>
        <color rgb="FF000000"/>
        <rFont val="Calibri"/>
        <family val="2"/>
        <charset val="1"/>
      </rPr>
      <t xml:space="preserve">NAV</t>
    </r>
  </si>
  <si>
    <r>
      <rPr>
        <sz val="11"/>
        <color rgb="FF000000"/>
        <rFont val="Noto Sans CJK SC"/>
        <family val="2"/>
      </rPr>
      <t xml:space="preserve">持仓勾稽</t>
    </r>
    <r>
      <rPr>
        <sz val="11"/>
        <color rgb="FF000000"/>
        <rFont val="Calibri"/>
        <family val="2"/>
        <charset val="1"/>
      </rPr>
      <t xml:space="preserve">!B24</t>
    </r>
  </si>
  <si>
    <t xml:space="preserve">B4+B5*B6+J20-B7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</si>
  <si>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</t>
    </r>
    <r>
      <rPr>
        <sz val="11"/>
        <color rgb="FF000000"/>
        <rFont val="Calibri"/>
        <family val="2"/>
        <charset val="1"/>
      </rPr>
      <t xml:space="preserve">=1,032,660)</t>
    </r>
  </si>
  <si>
    <t xml:space="preserve">两口径差额</t>
  </si>
  <si>
    <r>
      <rPr>
        <sz val="11"/>
        <color rgb="FF000000"/>
        <rFont val="Noto Sans CJK SC"/>
        <family val="2"/>
      </rPr>
      <t xml:space="preserve">持仓勾稽</t>
    </r>
    <r>
      <rPr>
        <sz val="11"/>
        <color rgb="FF000000"/>
        <rFont val="Calibri"/>
        <family val="2"/>
        <charset val="1"/>
      </rPr>
      <t xml:space="preserve">!B25</t>
    </r>
  </si>
  <si>
    <t xml:space="preserve">B8-B9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</si>
  <si>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</t>
    </r>
    <r>
      <rPr>
        <sz val="11"/>
        <color rgb="FF000000"/>
        <rFont val="Calibri"/>
        <family val="2"/>
        <charset val="1"/>
      </rPr>
      <t xml:space="preserve">=3,660)</t>
    </r>
  </si>
  <si>
    <r>
      <rPr>
        <sz val="11"/>
        <color rgb="FF000000"/>
        <rFont val="Noto Sans CJK SC"/>
        <family val="2"/>
      </rPr>
      <t xml:space="preserve">交易后</t>
    </r>
    <r>
      <rPr>
        <sz val="11"/>
        <color rgb="FF000000"/>
        <rFont val="Calibri"/>
        <family val="2"/>
        <charset val="1"/>
      </rPr>
      <t xml:space="preserve">NAV</t>
    </r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</si>
  <si>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!B27</t>
    </r>
  </si>
  <si>
    <t xml:space="preserve">B25+B23+B24-B26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</si>
  <si>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</t>
    </r>
    <r>
      <rPr>
        <sz val="11"/>
        <color rgb="FF000000"/>
        <rFont val="Calibri"/>
        <family val="2"/>
        <charset val="1"/>
      </rPr>
      <t xml:space="preserve">982,399)</t>
    </r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</si>
  <si>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交易后权重</t>
    </r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</si>
  <si>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!B28</t>
    </r>
  </si>
  <si>
    <t xml:space="preserve">D16/B27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</si>
  <si>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</t>
    </r>
    <r>
      <rPr>
        <sz val="11"/>
        <color rgb="FF000000"/>
        <rFont val="Calibri"/>
        <family val="2"/>
        <charset val="1"/>
      </rPr>
      <t xml:space="preserve">19.24%)</t>
    </r>
  </si>
  <si>
    <t xml:space="preserve">科技交易后权重</t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</si>
  <si>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!B29</t>
    </r>
  </si>
  <si>
    <t xml:space="preserve">(D12+D13+D16+D18)/B27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</si>
  <si>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</t>
    </r>
    <r>
      <rPr>
        <sz val="11"/>
        <color rgb="FF000000"/>
        <rFont val="Calibri"/>
        <family val="2"/>
        <charset val="1"/>
      </rPr>
      <t xml:space="preserve">39.94%)</t>
    </r>
  </si>
  <si>
    <t xml:space="preserve">高风险交易后权重</t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</si>
  <si>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!B30</t>
    </r>
  </si>
  <si>
    <t xml:space="preserve">(D12+D13+D16)/B27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</si>
  <si>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</t>
    </r>
    <r>
      <rPr>
        <sz val="11"/>
        <color rgb="FF000000"/>
        <rFont val="Calibri"/>
        <family val="2"/>
        <charset val="1"/>
      </rPr>
      <t xml:space="preserve">37.07%)</t>
    </r>
  </si>
  <si>
    <t xml:space="preserve">外币交易后权重</t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</si>
  <si>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!B31</t>
    </r>
  </si>
  <si>
    <t xml:space="preserve">(D18+B24)/B27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</si>
  <si>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</t>
    </r>
    <r>
      <rPr>
        <sz val="11"/>
        <color rgb="FF000000"/>
        <rFont val="Calibri"/>
        <family val="2"/>
        <charset val="1"/>
      </rPr>
      <t xml:space="preserve">5.06%)</t>
    </r>
  </si>
  <si>
    <r>
      <rPr>
        <sz val="11"/>
        <color rgb="FF000000"/>
        <rFont val="Calibri"/>
        <family val="2"/>
        <charset val="1"/>
      </rPr>
      <t xml:space="preserve">RMB</t>
    </r>
    <r>
      <rPr>
        <sz val="11"/>
        <color rgb="FF000000"/>
        <rFont val="Noto Sans CJK SC"/>
        <family val="2"/>
      </rPr>
      <t xml:space="preserve">现金交易后权重</t>
    </r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</si>
  <si>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!B32</t>
    </r>
  </si>
  <si>
    <t xml:space="preserve">B23/B27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</si>
  <si>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</t>
    </r>
    <r>
      <rPr>
        <sz val="11"/>
        <color rgb="FF000000"/>
        <rFont val="Calibri"/>
        <family val="2"/>
        <charset val="1"/>
      </rPr>
      <t xml:space="preserve">39.68%)</t>
    </r>
  </si>
  <si>
    <t xml:space="preserve">卖出费用合计</t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</si>
  <si>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!H8</t>
    </r>
  </si>
  <si>
    <t xml:space="preserve">SUM(H5:H7)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</si>
  <si>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</t>
    </r>
    <r>
      <rPr>
        <sz val="11"/>
        <color rgb="FF000000"/>
        <rFont val="Calibri"/>
        <family val="2"/>
        <charset val="1"/>
      </rPr>
      <t xml:space="preserve">260.6)</t>
    </r>
  </si>
  <si>
    <t xml:space="preserve">净回笼合计</t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</si>
  <si>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!I8</t>
    </r>
  </si>
  <si>
    <t xml:space="preserve">SUM(I5:I7)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</si>
  <si>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应≈</t>
    </r>
    <r>
      <rPr>
        <sz val="11"/>
        <color rgb="FF000000"/>
        <rFont val="Calibri"/>
        <family val="2"/>
        <charset val="1"/>
      </rPr>
      <t xml:space="preserve">297,347)</t>
    </r>
  </si>
  <si>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费用隐含费率</t>
    </r>
  </si>
  <si>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!H5/D5</t>
    </r>
  </si>
  <si>
    <t xml:space="preserve">H5/D5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</si>
  <si>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应</t>
    </r>
    <r>
      <rPr>
        <sz val="11"/>
        <color rgb="FF000000"/>
        <rFont val="Calibri"/>
        <family val="2"/>
        <charset val="1"/>
      </rPr>
      <t xml:space="preserve">=0.08%</t>
    </r>
    <r>
      <rPr>
        <sz val="11"/>
        <color rgb="FF000000"/>
        <rFont val="Noto Sans CJK SC"/>
        <family val="2"/>
      </rPr>
      <t xml:space="preserve">：佣金</t>
    </r>
    <r>
      <rPr>
        <sz val="11"/>
        <color rgb="FF000000"/>
        <rFont val="Calibri"/>
        <family val="2"/>
        <charset val="1"/>
      </rPr>
      <t xml:space="preserve">0.03%+</t>
    </r>
    <r>
      <rPr>
        <sz val="11"/>
        <color rgb="FF000000"/>
        <rFont val="Noto Sans CJK SC"/>
        <family val="2"/>
      </rPr>
      <t xml:space="preserve">印花</t>
    </r>
    <r>
      <rPr>
        <sz val="11"/>
        <color rgb="FF000000"/>
        <rFont val="Calibri"/>
        <family val="2"/>
        <charset val="1"/>
      </rPr>
      <t xml:space="preserve">0.05%)</t>
    </r>
  </si>
  <si>
    <t xml:space="preserve">交付自检回执（逐行填值）</t>
  </si>
  <si>
    <t xml:space="preserve">自检项</t>
  </si>
  <si>
    <t xml:space="preserve">填写值</t>
  </si>
  <si>
    <t xml:space="preserve">交付清单</t>
  </si>
  <si>
    <r>
      <rPr>
        <sz val="11"/>
        <color rgb="FF000000"/>
        <rFont val="Noto Sans CJK SC"/>
        <family val="2"/>
      </rPr>
      <t xml:space="preserve">组合持仓诊断与交易纪律</t>
    </r>
    <r>
      <rPr>
        <sz val="11"/>
        <color rgb="FF000000"/>
        <rFont val="Calibri"/>
        <family val="2"/>
        <charset val="1"/>
      </rPr>
      <t xml:space="preserve">.xlsx</t>
    </r>
  </si>
  <si>
    <t xml:space="preserve">主工件位置</t>
  </si>
  <si>
    <t xml:space="preserve">本工作簿全部工作表；决策结论见‘硬约束状态’‘条件规则’</t>
  </si>
  <si>
    <t xml:space="preserve">工作簿可复算</t>
  </si>
  <si>
    <t xml:space="preserve">‘核验’表</t>
  </si>
  <si>
    <t xml:space="preserve">占比分母</t>
  </si>
  <si>
    <r>
      <rPr>
        <sz val="11"/>
        <color rgb="FF000000"/>
        <rFont val="Noto Sans CJK SC"/>
        <family val="2"/>
      </rPr>
      <t xml:space="preserve">分母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交易后</t>
    </r>
    <r>
      <rPr>
        <sz val="11"/>
        <color rgb="FF000000"/>
        <rFont val="Calibri"/>
        <family val="2"/>
        <charset val="1"/>
      </rPr>
      <t xml:space="preserve">NAV≈982,399(</t>
    </r>
    <r>
      <rPr>
        <sz val="11"/>
        <color rgb="FF000000"/>
        <rFont val="Noto Sans CJK SC"/>
        <family val="2"/>
      </rPr>
      <t xml:space="preserve">主口径托管</t>
    </r>
    <r>
      <rPr>
        <sz val="11"/>
        <color rgb="FF000000"/>
        <rFont val="Calibri"/>
        <family val="2"/>
        <charset val="1"/>
      </rPr>
      <t xml:space="preserve">1,032,660−50,000−</t>
    </r>
    <r>
      <rPr>
        <sz val="11"/>
        <color rgb="FF000000"/>
        <rFont val="Noto Sans CJK SC"/>
        <family val="2"/>
      </rPr>
      <t xml:space="preserve">费用</t>
    </r>
    <r>
      <rPr>
        <sz val="11"/>
        <color rgb="FF000000"/>
        <rFont val="Calibri"/>
        <family val="2"/>
        <charset val="1"/>
      </rPr>
      <t xml:space="preserve">261)</t>
    </r>
    <r>
      <rPr>
        <sz val="11"/>
        <color rgb="FF000000"/>
        <rFont val="Noto Sans CJK SC"/>
        <family val="2"/>
      </rPr>
      <t xml:space="preserve">；权重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个股市值</t>
    </r>
    <r>
      <rPr>
        <sz val="11"/>
        <color rgb="FF000000"/>
        <rFont val="Calibri"/>
        <family val="2"/>
        <charset val="1"/>
      </rPr>
      <t xml:space="preserve">/NAV</t>
    </r>
  </si>
  <si>
    <t xml:space="preserve">最紧约束</t>
  </si>
  <si>
    <r>
      <rPr>
        <sz val="11"/>
        <color rgb="FF000000"/>
        <rFont val="Noto Sans CJK SC"/>
        <family val="2"/>
      </rPr>
      <t xml:space="preserve">科技主题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当前</t>
    </r>
    <r>
      <rPr>
        <sz val="11"/>
        <color rgb="FF000000"/>
        <rFont val="Calibri"/>
        <family val="2"/>
        <charset val="1"/>
      </rPr>
      <t xml:space="preserve">70.21% / </t>
    </r>
    <r>
      <rPr>
        <sz val="11"/>
        <color rgb="FF000000"/>
        <rFont val="Noto Sans CJK SC"/>
        <family val="2"/>
      </rPr>
      <t xml:space="preserve">阈值</t>
    </r>
    <r>
      <rPr>
        <sz val="11"/>
        <color rgb="FF000000"/>
        <rFont val="Calibri"/>
        <family val="2"/>
        <charset val="1"/>
      </rPr>
      <t xml:space="preserve">40% / </t>
    </r>
    <r>
      <rPr>
        <sz val="11"/>
        <color rgb="FF000000"/>
        <rFont val="Noto Sans CJK SC"/>
        <family val="2"/>
      </rPr>
      <t xml:space="preserve">反解：卖</t>
    </r>
    <r>
      <rPr>
        <sz val="11"/>
        <color rgb="FF000000"/>
        <rFont val="Calibri"/>
        <family val="2"/>
        <charset val="1"/>
      </rPr>
      <t xml:space="preserve">P01 5000+P05 200+P07 8000 / </t>
    </r>
    <r>
      <rPr>
        <sz val="11"/>
        <color rgb="FF000000"/>
        <rFont val="Noto Sans CJK SC"/>
        <family val="2"/>
      </rPr>
      <t xml:space="preserve">规则</t>
    </r>
    <r>
      <rPr>
        <sz val="11"/>
        <color rgb="FF000000"/>
        <rFont val="Calibri"/>
        <family val="2"/>
        <charset val="1"/>
      </rPr>
      <t xml:space="preserve">R01</t>
    </r>
    <r>
      <rPr>
        <sz val="11"/>
        <color rgb="FF000000"/>
        <rFont val="Noto Sans CJK SC"/>
        <family val="2"/>
      </rPr>
      <t xml:space="preserve">；软偏好冲突</t>
    </r>
    <r>
      <rPr>
        <sz val="11"/>
        <color rgb="FF000000"/>
        <rFont val="Calibri"/>
        <family val="2"/>
        <charset val="1"/>
      </rPr>
      <t xml:space="preserve">=PM</t>
    </r>
    <r>
      <rPr>
        <sz val="11"/>
        <color rgb="FF000000"/>
        <rFont val="Noto Sans CJK SC"/>
        <family val="2"/>
      </rPr>
      <t xml:space="preserve">不卖</t>
    </r>
    <r>
      <rPr>
        <sz val="11"/>
        <color rgb="FF000000"/>
        <rFont val="Calibri"/>
        <family val="2"/>
        <charset val="1"/>
      </rPr>
      <t xml:space="preserve">P05</t>
    </r>
  </si>
  <si>
    <t xml:space="preserve">分解型占比加总</t>
  </si>
  <si>
    <r>
      <rPr>
        <sz val="11"/>
        <color rgb="FF000000"/>
        <rFont val="Noto Sans CJK SC"/>
        <family val="2"/>
      </rPr>
      <t xml:space="preserve">个股权重合计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证券占比</t>
    </r>
    <r>
      <rPr>
        <sz val="11"/>
        <color rgb="FF000000"/>
        <rFont val="Calibri"/>
        <family val="2"/>
        <charset val="1"/>
      </rPr>
      <t xml:space="preserve">84.2%+</t>
    </r>
    <r>
      <rPr>
        <sz val="11"/>
        <color rgb="FF000000"/>
        <rFont val="Noto Sans CJK SC"/>
        <family val="2"/>
      </rPr>
      <t xml:space="preserve">现金</t>
    </r>
    <r>
      <rPr>
        <sz val="11"/>
        <color rgb="FF000000"/>
        <rFont val="Calibri"/>
        <family val="2"/>
        <charset val="1"/>
      </rPr>
      <t xml:space="preserve">15.9%−</t>
    </r>
    <r>
      <rPr>
        <sz val="11"/>
        <color rgb="FF000000"/>
        <rFont val="Noto Sans CJK SC"/>
        <family val="2"/>
      </rPr>
      <t xml:space="preserve">待扣费用</t>
    </r>
    <r>
      <rPr>
        <sz val="11"/>
        <color rgb="FF000000"/>
        <rFont val="Calibri"/>
        <family val="2"/>
        <charset val="1"/>
      </rPr>
      <t xml:space="preserve">0.1%=100%</t>
    </r>
    <r>
      <rPr>
        <sz val="11"/>
        <color rgb="FF000000"/>
        <rFont val="Noto Sans CJK SC"/>
        <family val="2"/>
      </rPr>
      <t xml:space="preserve">；科技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高风险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外币各自为子集不强行加总</t>
    </r>
  </si>
  <si>
    <t xml:space="preserve">最不利情景</t>
  </si>
  <si>
    <r>
      <rPr>
        <sz val="11"/>
        <color rgb="FF000000"/>
        <rFont val="Noto Sans CJK SC"/>
        <family val="2"/>
      </rPr>
      <t xml:space="preserve">科技领跌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后调仓损失≈</t>
    </r>
    <r>
      <rPr>
        <sz val="11"/>
        <color rgb="FF000000"/>
        <rFont val="Calibri"/>
        <family val="2"/>
        <charset val="1"/>
      </rPr>
      <t xml:space="preserve">6.9% / </t>
    </r>
    <r>
      <rPr>
        <sz val="11"/>
        <color rgb="FF000000"/>
        <rFont val="Noto Sans CJK SC"/>
        <family val="2"/>
      </rPr>
      <t xml:space="preserve">未调仓≈</t>
    </r>
    <r>
      <rPr>
        <sz val="11"/>
        <color rgb="FF000000"/>
        <rFont val="Calibri"/>
        <family val="2"/>
        <charset val="1"/>
      </rPr>
      <t xml:space="preserve">11.5%</t>
    </r>
    <r>
      <rPr>
        <sz val="11"/>
        <color rgb="FF000000"/>
        <rFont val="Noto Sans CJK SC"/>
        <family val="2"/>
      </rPr>
      <t xml:space="preserve">，均高于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CJK SC"/>
        <family val="2"/>
      </rPr>
      <t xml:space="preserve">但较前下降</t>
    </r>
  </si>
  <si>
    <t xml:space="preserve">日期来源</t>
  </si>
  <si>
    <r>
      <rPr>
        <sz val="11"/>
        <color rgb="FF000000"/>
        <rFont val="Noto Sans CJK SC"/>
        <family val="2"/>
      </rPr>
      <t xml:space="preserve">行动日</t>
    </r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、复核日</t>
    </r>
    <r>
      <rPr>
        <sz val="11"/>
        <color rgb="FF000000"/>
        <rFont val="Calibri"/>
        <family val="2"/>
        <charset val="1"/>
      </rPr>
      <t xml:space="preserve">8/21</t>
    </r>
    <r>
      <rPr>
        <sz val="11"/>
        <color rgb="FF000000"/>
        <rFont val="Noto Sans CJK SC"/>
        <family val="2"/>
      </rPr>
      <t xml:space="preserve">、补减日</t>
    </r>
    <r>
      <rPr>
        <sz val="11"/>
        <color rgb="FF000000"/>
        <rFont val="Calibri"/>
        <family val="2"/>
        <charset val="1"/>
      </rPr>
      <t xml:space="preserve">8/24</t>
    </r>
    <r>
      <rPr>
        <sz val="11"/>
        <color rgb="FF000000"/>
        <rFont val="Noto Sans CJK SC"/>
        <family val="2"/>
      </rPr>
      <t xml:space="preserve">均取自‘交易日历’表</t>
    </r>
  </si>
  <si>
    <t xml:space="preserve">数量口径</t>
  </si>
  <si>
    <r>
      <rPr>
        <sz val="11"/>
        <color rgb="FF000000"/>
        <rFont val="Calibri"/>
        <family val="2"/>
        <charset val="1"/>
      </rPr>
      <t xml:space="preserve">R01</t>
    </r>
    <r>
      <rPr>
        <sz val="11"/>
        <color rgb="FF000000"/>
        <rFont val="Noto Sans CJK SC"/>
        <family val="2"/>
      </rPr>
      <t xml:space="preserve">为累计总卖出量，基准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划出后持仓；</t>
    </r>
    <r>
      <rPr>
        <sz val="11"/>
        <color rgb="FF000000"/>
        <rFont val="Calibri"/>
        <family val="2"/>
        <charset val="1"/>
      </rPr>
      <t xml:space="preserve">R02/R03/R07</t>
    </r>
    <r>
      <rPr>
        <sz val="11"/>
        <color rgb="FF000000"/>
        <rFont val="Noto Sans CJK SC"/>
        <family val="2"/>
      </rPr>
      <t xml:space="preserve">为阶段追加量</t>
    </r>
  </si>
  <si>
    <t xml:space="preserve">费用口径</t>
  </si>
  <si>
    <r>
      <rPr>
        <sz val="11"/>
        <color rgb="FF000000"/>
        <rFont val="Calibri"/>
        <family val="2"/>
        <charset val="1"/>
      </rPr>
      <t xml:space="preserve">P01/P05=</t>
    </r>
    <r>
      <rPr>
        <sz val="11"/>
        <color rgb="FF000000"/>
        <rFont val="Noto Sans CJK SC"/>
        <family val="2"/>
      </rPr>
      <t xml:space="preserve">佣金</t>
    </r>
    <r>
      <rPr>
        <sz val="11"/>
        <color rgb="FF000000"/>
        <rFont val="Calibri"/>
        <family val="2"/>
        <charset val="1"/>
      </rPr>
      <t xml:space="preserve">0.03%(</t>
    </r>
    <r>
      <rPr>
        <sz val="11"/>
        <color rgb="FF000000"/>
        <rFont val="Noto Sans CJK SC"/>
        <family val="2"/>
      </rPr>
      <t xml:space="preserve">最低</t>
    </r>
    <r>
      <rPr>
        <sz val="11"/>
        <color rgb="FF000000"/>
        <rFont val="Calibri"/>
        <family val="2"/>
        <charset val="1"/>
      </rPr>
      <t xml:space="preserve">5)+</t>
    </r>
    <r>
      <rPr>
        <sz val="11"/>
        <color rgb="FF000000"/>
        <rFont val="Noto Sans CJK SC"/>
        <family val="2"/>
      </rPr>
      <t xml:space="preserve">印花</t>
    </r>
    <r>
      <rPr>
        <sz val="11"/>
        <color rgb="FF000000"/>
        <rFont val="Calibri"/>
        <family val="2"/>
        <charset val="1"/>
      </rPr>
      <t xml:space="preserve">0.05%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P07=0.10%</t>
    </r>
    <r>
      <rPr>
        <sz val="11"/>
        <color rgb="FF000000"/>
        <rFont val="Noto Sans CJK SC"/>
        <family val="2"/>
      </rPr>
      <t xml:space="preserve">；隐含费率</t>
    </r>
    <r>
      <rPr>
        <sz val="11"/>
        <color rgb="FF000000"/>
        <rFont val="Calibri"/>
        <family val="2"/>
        <charset val="1"/>
      </rPr>
      <t xml:space="preserve">P01=0.08%</t>
    </r>
    <r>
      <rPr>
        <sz val="11"/>
        <color rgb="FF000000"/>
        <rFont val="Noto Sans CJK SC"/>
        <family val="2"/>
      </rPr>
      <t xml:space="preserve">，与费率表一致</t>
    </r>
  </si>
  <si>
    <t xml:space="preserve">跨文件一致</t>
  </si>
  <si>
    <r>
      <rPr>
        <sz val="11"/>
        <color rgb="FF000000"/>
        <rFont val="Noto Sans CJK SC"/>
        <family val="2"/>
      </rPr>
      <t xml:space="preserve">抽查：交易后</t>
    </r>
    <r>
      <rPr>
        <sz val="11"/>
        <color rgb="FF000000"/>
        <rFont val="Calibri"/>
        <family val="2"/>
        <charset val="1"/>
      </rPr>
      <t xml:space="preserve">NAV </t>
    </r>
    <r>
      <rPr>
        <sz val="11"/>
        <color rgb="FF000000"/>
        <rFont val="Noto Sans CJK SC"/>
        <family val="2"/>
      </rPr>
      <t xml:space="preserve">交易明细</t>
    </r>
    <r>
      <rPr>
        <sz val="11"/>
        <color rgb="FF000000"/>
        <rFont val="Calibri"/>
        <family val="2"/>
        <charset val="1"/>
      </rPr>
      <t xml:space="preserve">!B27 ≈ </t>
    </r>
    <r>
      <rPr>
        <sz val="11"/>
        <color rgb="FF000000"/>
        <rFont val="Noto Sans CJK SC"/>
        <family val="2"/>
      </rPr>
      <t xml:space="preserve">资金转出影响</t>
    </r>
    <r>
      <rPr>
        <sz val="11"/>
        <color rgb="FF000000"/>
        <rFont val="Calibri"/>
        <family val="2"/>
        <charset val="1"/>
      </rPr>
      <t xml:space="preserve">!D8 ≈ </t>
    </r>
    <r>
      <rPr>
        <sz val="11"/>
        <color rgb="FF000000"/>
        <rFont val="Noto Sans CJK SC"/>
        <family val="2"/>
      </rPr>
      <t xml:space="preserve">情景表基准；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权重 交易明细</t>
    </r>
    <r>
      <rPr>
        <sz val="11"/>
        <color rgb="FF000000"/>
        <rFont val="Calibri"/>
        <family val="2"/>
        <charset val="1"/>
      </rPr>
      <t xml:space="preserve">!B28 = </t>
    </r>
    <r>
      <rPr>
        <sz val="11"/>
        <color rgb="FF000000"/>
        <rFont val="Noto Sans CJK SC"/>
        <family val="2"/>
      </rPr>
      <t xml:space="preserve">硬约束状态</t>
    </r>
    <r>
      <rPr>
        <sz val="11"/>
        <color rgb="FF000000"/>
        <rFont val="Calibri"/>
        <family val="2"/>
        <charset val="1"/>
      </rPr>
      <t xml:space="preserve">E4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</si>
</sst>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Cambria"/>
      <family val="0"/>
      <charset val="1"/>
    </font>
    <font>
      <sz val="11"/>
      <color rgb="FF000000"/>
      <name val="Noto Sans CJK SC"/>
      <family val="2"/>
    </font>
    <font>
      <sz val="11"/>
      <color rgb="FF0000CC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11"/>
      <color rgb="FF808080"/>
      <name val="Noto Sans CJK SC"/>
      <family val="2"/>
    </font>
    <font>
      <i val="true"/>
      <sz val="11"/>
      <color rgb="FF808080"/>
      <name val="Cambria"/>
      <family val="0"/>
      <charset val="1"/>
    </font>
    <font>
      <i val="true"/>
      <sz val="11"/>
      <color rgb="FFC00000"/>
      <name val="Noto Sans CJK SC"/>
      <family val="2"/>
    </font>
    <font>
      <i val="true"/>
      <sz val="11"/>
      <color rgb="FFC00000"/>
      <name val="Cambria"/>
      <family val="0"/>
      <charset val="1"/>
    </font>
    <font>
      <i val="true"/>
      <sz val="11"/>
      <color rgb="FF1F3864"/>
      <name val="Noto Sans CJK SC"/>
      <family val="2"/>
    </font>
    <font>
      <i val="true"/>
      <sz val="11"/>
      <color rgb="FF1F386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4" min="3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</row>
    <row r="5" customFormat="false" ht="15" hidden="false" customHeight="true" outlineLevel="0" collapsed="false">
      <c r="A5" s="2" t="s">
        <v>5</v>
      </c>
      <c r="B5" s="4" t="s">
        <v>6</v>
      </c>
      <c r="C5" s="4"/>
      <c r="D5" s="4"/>
    </row>
    <row r="6" customFormat="false" ht="15" hidden="false" customHeight="false" outlineLevel="0" collapsed="false">
      <c r="A6" s="2" t="s">
        <v>7</v>
      </c>
      <c r="B6" s="5" t="n">
        <v>7.18</v>
      </c>
      <c r="C6" s="5"/>
      <c r="D6" s="5"/>
    </row>
    <row r="7" customFormat="false" ht="15" hidden="false" customHeight="false" outlineLevel="0" collapsed="false">
      <c r="A7" s="2" t="s">
        <v>8</v>
      </c>
      <c r="B7" s="5" t="n">
        <v>0.92</v>
      </c>
      <c r="C7" s="5"/>
      <c r="D7" s="5"/>
    </row>
    <row r="8" customFormat="false" ht="15" hidden="false" customHeight="true" outlineLevel="0" collapsed="false">
      <c r="A8" s="2" t="s">
        <v>9</v>
      </c>
      <c r="B8" s="4" t="s">
        <v>10</v>
      </c>
      <c r="C8" s="4"/>
      <c r="D8" s="4"/>
    </row>
    <row r="9" customFormat="false" ht="15" hidden="false" customHeight="false" outlineLevel="0" collapsed="false">
      <c r="A9" s="2" t="s">
        <v>11</v>
      </c>
      <c r="B9" s="5" t="n">
        <v>1029000</v>
      </c>
      <c r="C9" s="5"/>
      <c r="D9" s="5"/>
    </row>
    <row r="10" customFormat="false" ht="15" hidden="false" customHeight="false" outlineLevel="0" collapsed="false">
      <c r="A10" s="2" t="s">
        <v>12</v>
      </c>
      <c r="B10" s="3" t="n">
        <f aca="false">1032660-B9</f>
        <v>3660</v>
      </c>
      <c r="C10" s="3"/>
      <c r="D10" s="3"/>
    </row>
    <row r="11" customFormat="false" ht="15" hidden="false" customHeight="true" outlineLevel="0" collapsed="false">
      <c r="A11" s="2" t="s">
        <v>13</v>
      </c>
      <c r="B11" s="4" t="s">
        <v>14</v>
      </c>
      <c r="C11" s="4"/>
      <c r="D11" s="4"/>
    </row>
    <row r="12" customFormat="false" ht="15" hidden="false" customHeight="false" outlineLevel="0" collapsed="false">
      <c r="A12" s="2" t="s">
        <v>15</v>
      </c>
      <c r="B12" s="5" t="n">
        <v>50000</v>
      </c>
      <c r="C12" s="5"/>
      <c r="D12" s="5"/>
    </row>
    <row r="13" customFormat="false" ht="15" hidden="false" customHeight="true" outlineLevel="0" collapsed="false">
      <c r="A13" s="2" t="s">
        <v>16</v>
      </c>
      <c r="B13" s="4" t="s">
        <v>17</v>
      </c>
      <c r="C13" s="4"/>
      <c r="D13" s="4"/>
    </row>
  </sheetData>
  <mergeCells count="12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.01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.01"/>
  </cols>
  <sheetData>
    <row r="1" customFormat="false" ht="24" hidden="false" customHeight="true" outlineLevel="0" collapsed="false">
      <c r="A1" s="1" t="s">
        <v>18</v>
      </c>
      <c r="B1" s="1"/>
      <c r="C1" s="1"/>
      <c r="D1" s="1"/>
      <c r="E1" s="1"/>
    </row>
    <row r="2" customFormat="false" ht="15" hidden="false" customHeight="false" outlineLevel="0" collapsed="false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</row>
    <row r="3" customFormat="false" ht="15" hidden="false" customHeight="false" outlineLevel="0" collapsed="false">
      <c r="A3" s="7" t="s">
        <v>24</v>
      </c>
      <c r="B3" s="8" t="n">
        <v>869820</v>
      </c>
      <c r="C3" s="7" t="s">
        <v>25</v>
      </c>
      <c r="D3" s="9" t="s">
        <v>26</v>
      </c>
      <c r="E3" s="7" t="s">
        <v>27</v>
      </c>
    </row>
    <row r="4" customFormat="false" ht="15" hidden="false" customHeight="false" outlineLevel="0" collapsed="false">
      <c r="A4" s="7" t="s">
        <v>28</v>
      </c>
      <c r="B4" s="8" t="n">
        <v>142500</v>
      </c>
      <c r="C4" s="7" t="s">
        <v>25</v>
      </c>
      <c r="D4" s="9" t="s">
        <v>26</v>
      </c>
      <c r="E4" s="7" t="s">
        <v>29</v>
      </c>
    </row>
    <row r="5" customFormat="false" ht="15" hidden="false" customHeight="false" outlineLevel="0" collapsed="false">
      <c r="A5" s="7" t="s">
        <v>30</v>
      </c>
      <c r="B5" s="8" t="n">
        <v>3000</v>
      </c>
      <c r="C5" s="7" t="s">
        <v>31</v>
      </c>
      <c r="D5" s="9" t="s">
        <v>26</v>
      </c>
      <c r="E5" s="7" t="s">
        <v>29</v>
      </c>
    </row>
    <row r="6" customFormat="false" ht="15" hidden="false" customHeight="false" outlineLevel="0" collapsed="false">
      <c r="A6" s="7" t="s">
        <v>32</v>
      </c>
      <c r="B6" s="8" t="n">
        <v>7.18</v>
      </c>
      <c r="C6" s="7" t="s">
        <v>33</v>
      </c>
      <c r="D6" s="9" t="s">
        <v>34</v>
      </c>
      <c r="E6" s="7" t="s">
        <v>35</v>
      </c>
    </row>
    <row r="7" customFormat="false" ht="15" hidden="false" customHeight="false" outlineLevel="0" collapsed="false">
      <c r="A7" s="7" t="s">
        <v>36</v>
      </c>
      <c r="B7" s="8" t="n">
        <v>1200</v>
      </c>
      <c r="C7" s="7" t="s">
        <v>25</v>
      </c>
      <c r="D7" s="9" t="s">
        <v>26</v>
      </c>
      <c r="E7" s="7" t="s">
        <v>27</v>
      </c>
    </row>
    <row r="8" customFormat="false" ht="15" hidden="false" customHeight="false" outlineLevel="0" collapsed="false">
      <c r="A8" s="7" t="s">
        <v>37</v>
      </c>
      <c r="B8" s="8" t="n">
        <v>1032660</v>
      </c>
      <c r="C8" s="7" t="s">
        <v>25</v>
      </c>
      <c r="D8" s="9" t="s">
        <v>26</v>
      </c>
      <c r="E8" s="7" t="s">
        <v>27</v>
      </c>
    </row>
    <row r="9" customFormat="false" ht="15" hidden="false" customHeight="false" outlineLevel="0" collapsed="false">
      <c r="A9" s="7" t="s">
        <v>38</v>
      </c>
      <c r="B9" s="8" t="n">
        <v>1029000</v>
      </c>
      <c r="C9" s="7" t="s">
        <v>25</v>
      </c>
      <c r="D9" s="9" t="s">
        <v>39</v>
      </c>
      <c r="E9" s="7" t="s">
        <v>40</v>
      </c>
    </row>
    <row r="10" customFormat="false" ht="15" hidden="false" customHeight="false" outlineLevel="0" collapsed="false">
      <c r="A10" s="7" t="s">
        <v>41</v>
      </c>
      <c r="B10" s="8" t="n">
        <v>50000</v>
      </c>
      <c r="C10" s="7" t="s">
        <v>25</v>
      </c>
      <c r="D10" s="9" t="s">
        <v>42</v>
      </c>
      <c r="E10" s="7" t="s">
        <v>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0"/>
    <col collapsed="false" customWidth="true" hidden="false" outlineLevel="0" max="4" min="4" style="0" width="11.99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8" min="8" style="0" width="10.99"/>
    <col collapsed="false" customWidth="true" hidden="false" outlineLevel="0" max="10" min="9" style="0" width="9"/>
  </cols>
  <sheetData>
    <row r="1" customFormat="false" ht="24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customFormat="false" ht="15" hidden="false" customHeight="false" outlineLevel="0" collapsed="false">
      <c r="A3" s="10" t="s">
        <v>55</v>
      </c>
      <c r="B3" s="10" t="s">
        <v>56</v>
      </c>
      <c r="C3" s="11" t="s">
        <v>57</v>
      </c>
      <c r="D3" s="10" t="s">
        <v>58</v>
      </c>
      <c r="E3" s="12" t="n">
        <v>2500</v>
      </c>
      <c r="F3" s="12" t="n">
        <v>43.2</v>
      </c>
      <c r="G3" s="11" t="s">
        <v>59</v>
      </c>
      <c r="H3" s="11" t="s">
        <v>60</v>
      </c>
      <c r="I3" s="12" t="n">
        <v>32.8</v>
      </c>
      <c r="J3" s="11" t="s">
        <v>59</v>
      </c>
    </row>
    <row r="4" customFormat="false" ht="15" hidden="false" customHeight="false" outlineLevel="0" collapsed="false">
      <c r="A4" s="10" t="s">
        <v>55</v>
      </c>
      <c r="B4" s="10" t="s">
        <v>56</v>
      </c>
      <c r="C4" s="11" t="s">
        <v>57</v>
      </c>
      <c r="D4" s="10" t="s">
        <v>61</v>
      </c>
      <c r="E4" s="12" t="n">
        <v>1500</v>
      </c>
      <c r="F4" s="12" t="n">
        <v>37.5</v>
      </c>
      <c r="G4" s="11" t="s">
        <v>59</v>
      </c>
      <c r="H4" s="11" t="s">
        <v>60</v>
      </c>
      <c r="I4" s="12" t="n">
        <v>32.8</v>
      </c>
      <c r="J4" s="11" t="s">
        <v>59</v>
      </c>
    </row>
    <row r="5" customFormat="false" ht="15" hidden="false" customHeight="false" outlineLevel="0" collapsed="false">
      <c r="A5" s="10" t="s">
        <v>55</v>
      </c>
      <c r="B5" s="10" t="s">
        <v>56</v>
      </c>
      <c r="C5" s="11" t="s">
        <v>57</v>
      </c>
      <c r="D5" s="10" t="s">
        <v>62</v>
      </c>
      <c r="E5" s="12" t="n">
        <v>1000</v>
      </c>
      <c r="F5" s="12" t="n">
        <v>31.9</v>
      </c>
      <c r="G5" s="11" t="s">
        <v>59</v>
      </c>
      <c r="H5" s="11" t="s">
        <v>63</v>
      </c>
      <c r="I5" s="12" t="n">
        <v>32.8</v>
      </c>
      <c r="J5" s="11" t="s">
        <v>59</v>
      </c>
    </row>
    <row r="6" customFormat="false" ht="15" hidden="false" customHeight="false" outlineLevel="0" collapsed="false">
      <c r="A6" s="10" t="s">
        <v>64</v>
      </c>
      <c r="B6" s="10" t="s">
        <v>56</v>
      </c>
      <c r="C6" s="11" t="s">
        <v>65</v>
      </c>
      <c r="D6" s="10" t="s">
        <v>66</v>
      </c>
      <c r="E6" s="12" t="n">
        <v>3000</v>
      </c>
      <c r="F6" s="12" t="n">
        <v>54.2</v>
      </c>
      <c r="G6" s="11" t="s">
        <v>59</v>
      </c>
      <c r="H6" s="11" t="s">
        <v>60</v>
      </c>
      <c r="I6" s="12" t="n">
        <v>58.4</v>
      </c>
      <c r="J6" s="11" t="s">
        <v>59</v>
      </c>
    </row>
    <row r="7" customFormat="false" ht="15" hidden="false" customHeight="false" outlineLevel="0" collapsed="false">
      <c r="A7" s="10" t="s">
        <v>67</v>
      </c>
      <c r="B7" s="10" t="s">
        <v>56</v>
      </c>
      <c r="C7" s="11" t="s">
        <v>68</v>
      </c>
      <c r="D7" s="10" t="s">
        <v>69</v>
      </c>
      <c r="E7" s="12" t="n">
        <v>8000</v>
      </c>
      <c r="F7" s="12" t="n">
        <v>10.3</v>
      </c>
      <c r="G7" s="11" t="s">
        <v>59</v>
      </c>
      <c r="H7" s="11" t="s">
        <v>60</v>
      </c>
      <c r="I7" s="12" t="n">
        <v>9.62</v>
      </c>
      <c r="J7" s="11" t="s">
        <v>59</v>
      </c>
    </row>
    <row r="8" customFormat="false" ht="15" hidden="false" customHeight="false" outlineLevel="0" collapsed="false">
      <c r="A8" s="10" t="s">
        <v>70</v>
      </c>
      <c r="B8" s="10" t="s">
        <v>56</v>
      </c>
      <c r="C8" s="11" t="s">
        <v>71</v>
      </c>
      <c r="D8" s="10" t="s">
        <v>72</v>
      </c>
      <c r="E8" s="12" t="n">
        <v>6000</v>
      </c>
      <c r="F8" s="12" t="n">
        <v>11.9</v>
      </c>
      <c r="G8" s="11" t="s">
        <v>59</v>
      </c>
      <c r="H8" s="11" t="s">
        <v>60</v>
      </c>
      <c r="I8" s="12" t="n">
        <v>12.35</v>
      </c>
      <c r="J8" s="11" t="s">
        <v>59</v>
      </c>
    </row>
    <row r="9" customFormat="false" ht="15" hidden="false" customHeight="false" outlineLevel="0" collapsed="false">
      <c r="A9" s="10" t="s">
        <v>73</v>
      </c>
      <c r="B9" s="10" t="s">
        <v>56</v>
      </c>
      <c r="C9" s="11" t="s">
        <v>65</v>
      </c>
      <c r="D9" s="10" t="s">
        <v>74</v>
      </c>
      <c r="E9" s="12" t="n">
        <v>2000</v>
      </c>
      <c r="F9" s="12" t="n">
        <v>82.4</v>
      </c>
      <c r="G9" s="11" t="s">
        <v>59</v>
      </c>
      <c r="H9" s="11" t="s">
        <v>60</v>
      </c>
      <c r="I9" s="12" t="n">
        <v>105</v>
      </c>
      <c r="J9" s="11" t="s">
        <v>59</v>
      </c>
    </row>
    <row r="10" customFormat="false" ht="15" hidden="false" customHeight="false" outlineLevel="0" collapsed="false">
      <c r="A10" s="10" t="s">
        <v>75</v>
      </c>
      <c r="B10" s="11" t="s">
        <v>76</v>
      </c>
      <c r="C10" s="11" t="s">
        <v>77</v>
      </c>
      <c r="D10" s="10" t="s">
        <v>78</v>
      </c>
      <c r="E10" s="12" t="n">
        <v>10000</v>
      </c>
      <c r="F10" s="12" t="n">
        <v>3.1</v>
      </c>
      <c r="G10" s="11" t="s">
        <v>59</v>
      </c>
      <c r="H10" s="11" t="s">
        <v>60</v>
      </c>
      <c r="I10" s="12" t="n">
        <v>2.88</v>
      </c>
      <c r="J10" s="11" t="s">
        <v>59</v>
      </c>
    </row>
    <row r="11" customFormat="false" ht="15" hidden="false" customHeight="false" outlineLevel="0" collapsed="false">
      <c r="A11" s="10" t="s">
        <v>79</v>
      </c>
      <c r="B11" s="11" t="s">
        <v>80</v>
      </c>
      <c r="C11" s="11" t="s">
        <v>81</v>
      </c>
      <c r="D11" s="10" t="s">
        <v>82</v>
      </c>
      <c r="E11" s="12" t="n">
        <v>10000</v>
      </c>
      <c r="F11" s="12" t="n">
        <v>16.4</v>
      </c>
      <c r="G11" s="11" t="s">
        <v>83</v>
      </c>
      <c r="H11" s="11" t="s">
        <v>60</v>
      </c>
      <c r="I11" s="12" t="n">
        <v>15.3</v>
      </c>
      <c r="J11" s="11" t="s">
        <v>83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.99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.99"/>
    <col collapsed="false" customWidth="true" hidden="false" outlineLevel="0" max="12" min="12" style="0" width="30.01"/>
  </cols>
  <sheetData>
    <row r="1" customFormat="false" ht="24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6" t="s">
        <v>45</v>
      </c>
      <c r="B2" s="6" t="s">
        <v>85</v>
      </c>
      <c r="C2" s="6" t="s">
        <v>86</v>
      </c>
      <c r="D2" s="6" t="s">
        <v>87</v>
      </c>
      <c r="E2" s="6" t="s">
        <v>88</v>
      </c>
      <c r="F2" s="6" t="s">
        <v>89</v>
      </c>
      <c r="G2" s="6" t="s">
        <v>90</v>
      </c>
      <c r="H2" s="6" t="s">
        <v>91</v>
      </c>
      <c r="I2" s="6" t="s">
        <v>92</v>
      </c>
      <c r="J2" s="6" t="s">
        <v>93</v>
      </c>
      <c r="K2" s="13" t="s">
        <v>94</v>
      </c>
      <c r="L2" s="6" t="s">
        <v>95</v>
      </c>
    </row>
    <row r="3" customFormat="false" ht="15" hidden="false" customHeight="false" outlineLevel="0" collapsed="false">
      <c r="A3" s="9" t="s">
        <v>55</v>
      </c>
      <c r="B3" s="7" t="s">
        <v>96</v>
      </c>
      <c r="C3" s="8" t="n">
        <v>32.8</v>
      </c>
      <c r="D3" s="7" t="s">
        <v>59</v>
      </c>
      <c r="E3" s="9" t="s">
        <v>34</v>
      </c>
      <c r="F3" s="7" t="s">
        <v>97</v>
      </c>
      <c r="G3" s="7" t="s">
        <v>98</v>
      </c>
      <c r="H3" s="8" t="n">
        <v>1000</v>
      </c>
      <c r="I3" s="8" t="n">
        <v>4000</v>
      </c>
      <c r="J3" s="8" t="n">
        <v>100</v>
      </c>
      <c r="K3" s="8" t="n">
        <v>8600</v>
      </c>
      <c r="L3" s="7" t="s">
        <v>99</v>
      </c>
    </row>
    <row r="4" customFormat="false" ht="15" hidden="false" customHeight="false" outlineLevel="0" collapsed="false">
      <c r="A4" s="9" t="s">
        <v>64</v>
      </c>
      <c r="B4" s="7" t="s">
        <v>96</v>
      </c>
      <c r="C4" s="8" t="n">
        <v>58.4</v>
      </c>
      <c r="D4" s="7" t="s">
        <v>59</v>
      </c>
      <c r="E4" s="9" t="s">
        <v>34</v>
      </c>
      <c r="F4" s="7" t="s">
        <v>97</v>
      </c>
      <c r="G4" s="7" t="s">
        <v>100</v>
      </c>
      <c r="H4" s="8" t="n">
        <v>0</v>
      </c>
      <c r="I4" s="8" t="n">
        <v>3000</v>
      </c>
      <c r="J4" s="8" t="n">
        <v>100</v>
      </c>
      <c r="K4" s="8" t="n">
        <v>2100</v>
      </c>
      <c r="L4" s="7" t="s">
        <v>101</v>
      </c>
    </row>
    <row r="5" customFormat="false" ht="15" hidden="false" customHeight="false" outlineLevel="0" collapsed="false">
      <c r="A5" s="9" t="s">
        <v>67</v>
      </c>
      <c r="B5" s="7" t="s">
        <v>96</v>
      </c>
      <c r="C5" s="8" t="n">
        <v>9.62</v>
      </c>
      <c r="D5" s="7" t="s">
        <v>59</v>
      </c>
      <c r="E5" s="9" t="s">
        <v>34</v>
      </c>
      <c r="F5" s="7" t="s">
        <v>97</v>
      </c>
      <c r="G5" s="7" t="s">
        <v>98</v>
      </c>
      <c r="H5" s="8" t="n">
        <v>0</v>
      </c>
      <c r="I5" s="8" t="n">
        <v>8000</v>
      </c>
      <c r="J5" s="8" t="n">
        <v>100</v>
      </c>
      <c r="K5" s="8" t="n">
        <v>4700</v>
      </c>
      <c r="L5" s="9"/>
    </row>
    <row r="6" customFormat="false" ht="15" hidden="false" customHeight="false" outlineLevel="0" collapsed="false">
      <c r="A6" s="9" t="s">
        <v>70</v>
      </c>
      <c r="B6" s="7" t="s">
        <v>96</v>
      </c>
      <c r="C6" s="8" t="n">
        <v>12.35</v>
      </c>
      <c r="D6" s="7" t="s">
        <v>59</v>
      </c>
      <c r="E6" s="9" t="s">
        <v>102</v>
      </c>
      <c r="F6" s="7" t="s">
        <v>103</v>
      </c>
      <c r="G6" s="7" t="s">
        <v>104</v>
      </c>
      <c r="H6" s="8" t="n">
        <v>0</v>
      </c>
      <c r="I6" s="8" t="n">
        <v>0</v>
      </c>
      <c r="J6" s="8" t="n">
        <v>100</v>
      </c>
      <c r="K6" s="8" t="n">
        <v>900</v>
      </c>
      <c r="L6" s="9" t="s">
        <v>105</v>
      </c>
    </row>
    <row r="7" customFormat="false" ht="15" hidden="false" customHeight="false" outlineLevel="0" collapsed="false">
      <c r="A7" s="9" t="s">
        <v>73</v>
      </c>
      <c r="B7" s="7" t="s">
        <v>96</v>
      </c>
      <c r="C7" s="8" t="n">
        <v>105</v>
      </c>
      <c r="D7" s="7" t="s">
        <v>59</v>
      </c>
      <c r="E7" s="9" t="s">
        <v>34</v>
      </c>
      <c r="F7" s="7" t="s">
        <v>97</v>
      </c>
      <c r="G7" s="7" t="s">
        <v>98</v>
      </c>
      <c r="H7" s="8" t="n">
        <v>0</v>
      </c>
      <c r="I7" s="8" t="n">
        <v>2000</v>
      </c>
      <c r="J7" s="8" t="n">
        <v>100</v>
      </c>
      <c r="K7" s="8" t="n">
        <v>12800</v>
      </c>
      <c r="L7" s="9"/>
    </row>
    <row r="8" customFormat="false" ht="15" hidden="false" customHeight="false" outlineLevel="0" collapsed="false">
      <c r="A8" s="9" t="s">
        <v>75</v>
      </c>
      <c r="B8" s="7" t="s">
        <v>96</v>
      </c>
      <c r="C8" s="8" t="n">
        <v>2.88</v>
      </c>
      <c r="D8" s="7" t="s">
        <v>59</v>
      </c>
      <c r="E8" s="9" t="s">
        <v>34</v>
      </c>
      <c r="F8" s="7" t="s">
        <v>97</v>
      </c>
      <c r="G8" s="7" t="s">
        <v>98</v>
      </c>
      <c r="H8" s="8" t="n">
        <v>0</v>
      </c>
      <c r="I8" s="8" t="n">
        <v>10000</v>
      </c>
      <c r="J8" s="8" t="n">
        <v>100</v>
      </c>
      <c r="K8" s="8" t="n">
        <v>56000</v>
      </c>
      <c r="L8" s="9" t="s">
        <v>106</v>
      </c>
    </row>
    <row r="9" customFormat="false" ht="15" hidden="false" customHeight="false" outlineLevel="0" collapsed="false">
      <c r="A9" s="9" t="s">
        <v>79</v>
      </c>
      <c r="B9" s="7" t="s">
        <v>107</v>
      </c>
      <c r="C9" s="8" t="n">
        <v>15.3</v>
      </c>
      <c r="D9" s="7" t="s">
        <v>83</v>
      </c>
      <c r="E9" s="9" t="s">
        <v>108</v>
      </c>
      <c r="F9" s="7" t="s">
        <v>97</v>
      </c>
      <c r="G9" s="7" t="s">
        <v>98</v>
      </c>
      <c r="H9" s="8" t="n">
        <v>0</v>
      </c>
      <c r="I9" s="8" t="n">
        <v>10000</v>
      </c>
      <c r="J9" s="8" t="n">
        <v>500</v>
      </c>
      <c r="K9" s="8" t="n">
        <v>12500</v>
      </c>
      <c r="L9" s="7" t="s">
        <v>109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0"/>
    <col collapsed="false" customWidth="true" hidden="false" outlineLevel="0" max="4" min="4" style="0" width="13.01"/>
    <col collapsed="false" customWidth="true" hidden="false" outlineLevel="0" max="5" min="5" style="0" width="10.99"/>
    <col collapsed="false" customWidth="true" hidden="false" outlineLevel="0" max="6" min="6" style="0" width="13.01"/>
    <col collapsed="false" customWidth="true" hidden="false" outlineLevel="0" max="7" min="7" style="0" width="11.99"/>
  </cols>
  <sheetData>
    <row r="1" customFormat="false" ht="24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6" t="s">
        <v>45</v>
      </c>
      <c r="B2" s="6" t="s">
        <v>111</v>
      </c>
      <c r="C2" s="6" t="s">
        <v>112</v>
      </c>
      <c r="D2" s="6" t="s">
        <v>113</v>
      </c>
      <c r="E2" s="6" t="s">
        <v>114</v>
      </c>
      <c r="F2" s="6" t="s">
        <v>115</v>
      </c>
      <c r="G2" s="6" t="s">
        <v>116</v>
      </c>
    </row>
    <row r="3" customFormat="false" ht="15" hidden="false" customHeight="false" outlineLevel="0" collapsed="false">
      <c r="A3" s="10" t="s">
        <v>55</v>
      </c>
      <c r="B3" s="11" t="s">
        <v>117</v>
      </c>
      <c r="C3" s="11" t="s">
        <v>118</v>
      </c>
      <c r="D3" s="12" t="n">
        <v>0.38</v>
      </c>
      <c r="E3" s="11" t="s">
        <v>119</v>
      </c>
      <c r="F3" s="12" t="n">
        <v>0.72</v>
      </c>
      <c r="G3" s="11" t="s">
        <v>60</v>
      </c>
    </row>
    <row r="4" customFormat="false" ht="15" hidden="false" customHeight="false" outlineLevel="0" collapsed="false">
      <c r="A4" s="10" t="s">
        <v>64</v>
      </c>
      <c r="B4" s="11" t="s">
        <v>117</v>
      </c>
      <c r="C4" s="11" t="s">
        <v>118</v>
      </c>
      <c r="D4" s="12" t="n">
        <v>0.44</v>
      </c>
      <c r="E4" s="11" t="s">
        <v>119</v>
      </c>
      <c r="F4" s="12" t="n">
        <v>0.81</v>
      </c>
      <c r="G4" s="11" t="s">
        <v>60</v>
      </c>
    </row>
    <row r="5" customFormat="false" ht="15" hidden="false" customHeight="false" outlineLevel="0" collapsed="false">
      <c r="A5" s="10" t="s">
        <v>67</v>
      </c>
      <c r="B5" s="11" t="s">
        <v>120</v>
      </c>
      <c r="C5" s="11" t="s">
        <v>68</v>
      </c>
      <c r="D5" s="12" t="n">
        <v>0.25</v>
      </c>
      <c r="E5" s="11" t="s">
        <v>121</v>
      </c>
      <c r="F5" s="12" t="n">
        <v>0.18</v>
      </c>
      <c r="G5" s="11" t="s">
        <v>60</v>
      </c>
    </row>
    <row r="6" customFormat="false" ht="15" hidden="false" customHeight="false" outlineLevel="0" collapsed="false">
      <c r="A6" s="10" t="s">
        <v>70</v>
      </c>
      <c r="B6" s="11" t="s">
        <v>122</v>
      </c>
      <c r="C6" s="11" t="s">
        <v>71</v>
      </c>
      <c r="D6" s="12" t="n">
        <v>0.29</v>
      </c>
      <c r="E6" s="11" t="s">
        <v>121</v>
      </c>
      <c r="F6" s="12" t="n">
        <v>0.22</v>
      </c>
      <c r="G6" s="11" t="s">
        <v>60</v>
      </c>
    </row>
    <row r="7" customFormat="false" ht="15" hidden="false" customHeight="false" outlineLevel="0" collapsed="false">
      <c r="A7" s="10" t="s">
        <v>73</v>
      </c>
      <c r="B7" s="11" t="s">
        <v>117</v>
      </c>
      <c r="C7" s="11" t="s">
        <v>118</v>
      </c>
      <c r="D7" s="12" t="n">
        <v>0.46</v>
      </c>
      <c r="E7" s="11" t="s">
        <v>119</v>
      </c>
      <c r="F7" s="12" t="n">
        <v>1</v>
      </c>
      <c r="G7" s="11" t="s">
        <v>60</v>
      </c>
    </row>
    <row r="8" customFormat="false" ht="15" hidden="false" customHeight="false" outlineLevel="0" collapsed="false">
      <c r="A8" s="10" t="s">
        <v>75</v>
      </c>
      <c r="B8" s="11" t="s">
        <v>120</v>
      </c>
      <c r="C8" s="11" t="s">
        <v>77</v>
      </c>
      <c r="D8" s="12" t="n">
        <v>0.17</v>
      </c>
      <c r="E8" s="11" t="s">
        <v>123</v>
      </c>
      <c r="F8" s="12" t="n">
        <v>-0.05</v>
      </c>
      <c r="G8" s="11" t="s">
        <v>60</v>
      </c>
    </row>
    <row r="9" customFormat="false" ht="15" hidden="false" customHeight="false" outlineLevel="0" collapsed="false">
      <c r="A9" s="10" t="s">
        <v>79</v>
      </c>
      <c r="B9" s="11" t="s">
        <v>117</v>
      </c>
      <c r="C9" s="11" t="s">
        <v>118</v>
      </c>
      <c r="D9" s="12" t="n">
        <v>0.31</v>
      </c>
      <c r="E9" s="11" t="s">
        <v>124</v>
      </c>
      <c r="F9" s="12" t="n">
        <v>0.64</v>
      </c>
      <c r="G9" s="11" t="s">
        <v>63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.0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1" min="9" style="0" width="11.9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34"/>
  </cols>
  <sheetData>
    <row r="1" customFormat="false" ht="24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126</v>
      </c>
    </row>
    <row r="4" customFormat="false" ht="15" hidden="false" customHeight="false" outlineLevel="0" collapsed="false">
      <c r="A4" s="2" t="s">
        <v>28</v>
      </c>
      <c r="B4" s="14" t="n">
        <f aca="false">'输入快照-账户'!B4</f>
        <v>142500</v>
      </c>
    </row>
    <row r="5" customFormat="false" ht="15" hidden="false" customHeight="false" outlineLevel="0" collapsed="false">
      <c r="A5" s="2" t="s">
        <v>127</v>
      </c>
      <c r="B5" s="14" t="n">
        <f aca="false">'输入快照-账户'!B5</f>
        <v>3000</v>
      </c>
    </row>
    <row r="6" customFormat="false" ht="15" hidden="false" customHeight="false" outlineLevel="0" collapsed="false">
      <c r="A6" s="2" t="s">
        <v>128</v>
      </c>
      <c r="B6" s="14" t="n">
        <f aca="false">'输入快照-账户'!B6</f>
        <v>7.18</v>
      </c>
    </row>
    <row r="7" customFormat="false" ht="15" hidden="false" customHeight="false" outlineLevel="0" collapsed="false">
      <c r="A7" s="2" t="s">
        <v>36</v>
      </c>
      <c r="B7" s="14" t="n">
        <f aca="false">'输入快照-账户'!B7</f>
        <v>1200</v>
      </c>
    </row>
    <row r="8" customFormat="false" ht="15" hidden="false" customHeight="false" outlineLevel="0" collapsed="false">
      <c r="A8" s="2" t="s">
        <v>129</v>
      </c>
      <c r="B8" s="14" t="n">
        <f aca="false">'输入快照-账户'!B8</f>
        <v>1032660</v>
      </c>
    </row>
    <row r="9" customFormat="false" ht="15" hidden="false" customHeight="false" outlineLevel="0" collapsed="false">
      <c r="A9" s="15" t="s">
        <v>130</v>
      </c>
      <c r="B9" s="14" t="n">
        <f aca="false">'输入快照-账户'!B9</f>
        <v>1029000</v>
      </c>
    </row>
    <row r="10" customFormat="false" ht="15" hidden="false" customHeight="false" outlineLevel="0" collapsed="false">
      <c r="A10" s="2" t="s">
        <v>15</v>
      </c>
      <c r="B10" s="14" t="n">
        <f aca="false">'输入快照-账户'!B11</f>
        <v>0</v>
      </c>
    </row>
    <row r="12" customFormat="false" ht="15" hidden="false" customHeight="false" outlineLevel="0" collapsed="false">
      <c r="A12" s="16" t="s">
        <v>45</v>
      </c>
      <c r="B12" s="16" t="s">
        <v>131</v>
      </c>
      <c r="C12" s="16" t="s">
        <v>132</v>
      </c>
      <c r="D12" s="16" t="s">
        <v>87</v>
      </c>
      <c r="E12" s="16" t="s">
        <v>133</v>
      </c>
      <c r="F12" s="16" t="s">
        <v>134</v>
      </c>
      <c r="G12" s="16" t="s">
        <v>135</v>
      </c>
      <c r="H12" s="16" t="s">
        <v>136</v>
      </c>
      <c r="I12" s="16" t="s">
        <v>137</v>
      </c>
      <c r="J12" s="16" t="s">
        <v>138</v>
      </c>
      <c r="K12" s="16" t="s">
        <v>139</v>
      </c>
      <c r="L12" s="16" t="s">
        <v>140</v>
      </c>
      <c r="M12" s="16" t="s">
        <v>141</v>
      </c>
      <c r="N12" s="16" t="s">
        <v>142</v>
      </c>
    </row>
    <row r="13" customFormat="false" ht="15" hidden="false" customHeight="false" outlineLevel="0" collapsed="false">
      <c r="A13" s="9" t="s">
        <v>55</v>
      </c>
      <c r="B13" s="7" t="s">
        <v>143</v>
      </c>
      <c r="C13" s="7" t="s">
        <v>119</v>
      </c>
      <c r="D13" s="7" t="s">
        <v>59</v>
      </c>
      <c r="E13" s="8" t="n">
        <f aca="false">'输入快照-持仓批次'!E3+'输入快照-持仓批次'!E4+'输入快照-持仓批次'!E5</f>
        <v>5000</v>
      </c>
      <c r="F13" s="8" t="n">
        <f aca="false">'输入快照-可交易状态'!C3</f>
        <v>32.8</v>
      </c>
      <c r="G13" s="8" t="n">
        <v>1</v>
      </c>
      <c r="H13" s="9" t="n">
        <f aca="false">F13*G13</f>
        <v>32.8</v>
      </c>
      <c r="I13" s="8" t="n">
        <f aca="false">'输入快照-持仓批次'!E3*'输入快照-持仓批次'!F3+'输入快照-持仓批次'!E4*'输入快照-持仓批次'!F4+'输入快照-持仓批次'!E5*'输入快照-持仓批次'!F5</f>
        <v>196150</v>
      </c>
      <c r="J13" s="9" t="n">
        <f aca="false">E13*H13</f>
        <v>164000</v>
      </c>
      <c r="K13" s="9" t="n">
        <f aca="false">J13-I13</f>
        <v>-32150</v>
      </c>
      <c r="L13" s="17" t="n">
        <f aca="false">J13/$B$8</f>
        <v>0.158813162124998</v>
      </c>
      <c r="M13" s="8" t="n">
        <f aca="false">'输入快照-可交易状态'!I3+'输入快照-可交易状态'!H3</f>
        <v>5000</v>
      </c>
      <c r="N13" s="7" t="s">
        <v>144</v>
      </c>
    </row>
    <row r="14" customFormat="false" ht="15" hidden="false" customHeight="false" outlineLevel="0" collapsed="false">
      <c r="A14" s="9" t="s">
        <v>64</v>
      </c>
      <c r="B14" s="7" t="s">
        <v>145</v>
      </c>
      <c r="C14" s="7" t="s">
        <v>119</v>
      </c>
      <c r="D14" s="7" t="s">
        <v>59</v>
      </c>
      <c r="E14" s="8" t="n">
        <f aca="false">'输入快照-持仓批次'!E6</f>
        <v>3000</v>
      </c>
      <c r="F14" s="8" t="n">
        <f aca="false">'输入快照-可交易状态'!C4</f>
        <v>58.4</v>
      </c>
      <c r="G14" s="8" t="n">
        <v>1</v>
      </c>
      <c r="H14" s="9" t="n">
        <f aca="false">F14*G14</f>
        <v>58.4</v>
      </c>
      <c r="I14" s="8" t="n">
        <f aca="false">'输入快照-持仓批次'!E6*'输入快照-持仓批次'!F6</f>
        <v>162600</v>
      </c>
      <c r="J14" s="9" t="n">
        <f aca="false">E14*H14</f>
        <v>175200</v>
      </c>
      <c r="K14" s="9" t="n">
        <f aca="false">J14-I14</f>
        <v>12600</v>
      </c>
      <c r="L14" s="17" t="n">
        <f aca="false">J14/$B$8</f>
        <v>0.169658939050607</v>
      </c>
      <c r="M14" s="8" t="n">
        <f aca="false">'输入快照-可交易状态'!I4</f>
        <v>3000</v>
      </c>
      <c r="N14" s="9" t="s">
        <v>146</v>
      </c>
    </row>
    <row r="15" customFormat="false" ht="15" hidden="false" customHeight="false" outlineLevel="0" collapsed="false">
      <c r="A15" s="9" t="s">
        <v>67</v>
      </c>
      <c r="B15" s="7" t="s">
        <v>68</v>
      </c>
      <c r="C15" s="7" t="s">
        <v>121</v>
      </c>
      <c r="D15" s="7" t="s">
        <v>59</v>
      </c>
      <c r="E15" s="8" t="n">
        <f aca="false">'输入快照-持仓批次'!E7</f>
        <v>8000</v>
      </c>
      <c r="F15" s="8" t="n">
        <f aca="false">'输入快照-可交易状态'!C5</f>
        <v>9.62</v>
      </c>
      <c r="G15" s="8" t="n">
        <v>1</v>
      </c>
      <c r="H15" s="9" t="n">
        <f aca="false">F15*G15</f>
        <v>9.62</v>
      </c>
      <c r="I15" s="8" t="n">
        <f aca="false">'输入快照-持仓批次'!E7*'输入快照-持仓批次'!F7</f>
        <v>82400</v>
      </c>
      <c r="J15" s="9" t="n">
        <f aca="false">E15*H15</f>
        <v>76960</v>
      </c>
      <c r="K15" s="9" t="n">
        <f aca="false">J15-I15</f>
        <v>-5440</v>
      </c>
      <c r="L15" s="17" t="n">
        <f aca="false">J15/$B$8</f>
        <v>0.0745259814459745</v>
      </c>
      <c r="M15" s="8" t="n">
        <f aca="false">'输入快照-可交易状态'!I5</f>
        <v>8000</v>
      </c>
      <c r="N15" s="7" t="s">
        <v>97</v>
      </c>
    </row>
    <row r="16" customFormat="false" ht="15" hidden="false" customHeight="false" outlineLevel="0" collapsed="false">
      <c r="A16" s="9" t="s">
        <v>70</v>
      </c>
      <c r="B16" s="7" t="s">
        <v>71</v>
      </c>
      <c r="C16" s="7" t="s">
        <v>121</v>
      </c>
      <c r="D16" s="7" t="s">
        <v>59</v>
      </c>
      <c r="E16" s="8" t="n">
        <f aca="false">'输入快照-持仓批次'!E8</f>
        <v>6000</v>
      </c>
      <c r="F16" s="8" t="n">
        <f aca="false">'输入快照-可交易状态'!C6</f>
        <v>12.35</v>
      </c>
      <c r="G16" s="8" t="n">
        <v>1</v>
      </c>
      <c r="H16" s="9" t="n">
        <f aca="false">F16*G16</f>
        <v>12.35</v>
      </c>
      <c r="I16" s="8" t="n">
        <f aca="false">'输入快照-持仓批次'!E8*'输入快照-持仓批次'!F8</f>
        <v>71400</v>
      </c>
      <c r="J16" s="9" t="n">
        <f aca="false">E16*H16</f>
        <v>74100</v>
      </c>
      <c r="K16" s="9" t="n">
        <f aca="false">J16-I16</f>
        <v>2700</v>
      </c>
      <c r="L16" s="17" t="n">
        <f aca="false">J16/$B$8</f>
        <v>0.0717564348381849</v>
      </c>
      <c r="M16" s="8" t="n">
        <f aca="false">'输入快照-可交易状态'!I6</f>
        <v>0</v>
      </c>
      <c r="N16" s="7" t="s">
        <v>147</v>
      </c>
    </row>
    <row r="17" customFormat="false" ht="15" hidden="false" customHeight="false" outlineLevel="0" collapsed="false">
      <c r="A17" s="9" t="s">
        <v>73</v>
      </c>
      <c r="B17" s="7" t="s">
        <v>145</v>
      </c>
      <c r="C17" s="7" t="s">
        <v>119</v>
      </c>
      <c r="D17" s="7" t="s">
        <v>59</v>
      </c>
      <c r="E17" s="8" t="n">
        <f aca="false">'输入快照-持仓批次'!E9</f>
        <v>2000</v>
      </c>
      <c r="F17" s="8" t="n">
        <f aca="false">'输入快照-可交易状态'!C7</f>
        <v>105</v>
      </c>
      <c r="G17" s="8" t="n">
        <v>1</v>
      </c>
      <c r="H17" s="9" t="n">
        <f aca="false">F17*G17</f>
        <v>105</v>
      </c>
      <c r="I17" s="8" t="n">
        <f aca="false">'输入快照-持仓批次'!E9*'输入快照-持仓批次'!F9</f>
        <v>164800</v>
      </c>
      <c r="J17" s="9" t="n">
        <f aca="false">E17*H17</f>
        <v>210000</v>
      </c>
      <c r="K17" s="9" t="n">
        <f aca="false">J17-I17</f>
        <v>45200</v>
      </c>
      <c r="L17" s="17" t="n">
        <f aca="false">J17/$B$8</f>
        <v>0.20335831735518</v>
      </c>
      <c r="M17" s="8" t="n">
        <f aca="false">'输入快照-可交易状态'!I7</f>
        <v>2000</v>
      </c>
      <c r="N17" s="7" t="s">
        <v>148</v>
      </c>
    </row>
    <row r="18" customFormat="false" ht="15" hidden="false" customHeight="false" outlineLevel="0" collapsed="false">
      <c r="A18" s="9" t="s">
        <v>75</v>
      </c>
      <c r="B18" s="7" t="s">
        <v>77</v>
      </c>
      <c r="C18" s="7" t="s">
        <v>123</v>
      </c>
      <c r="D18" s="7" t="s">
        <v>59</v>
      </c>
      <c r="E18" s="8" t="n">
        <f aca="false">'输入快照-持仓批次'!E10</f>
        <v>10000</v>
      </c>
      <c r="F18" s="8" t="n">
        <f aca="false">'输入快照-可交易状态'!C8</f>
        <v>2.88</v>
      </c>
      <c r="G18" s="8" t="n">
        <v>1</v>
      </c>
      <c r="H18" s="9" t="n">
        <f aca="false">F18*G18</f>
        <v>2.88</v>
      </c>
      <c r="I18" s="8" t="n">
        <f aca="false">'输入快照-持仓批次'!E10*'输入快照-持仓批次'!F10-10000*0.8</f>
        <v>23000</v>
      </c>
      <c r="J18" s="9" t="n">
        <f aca="false">E18*H18</f>
        <v>28800</v>
      </c>
      <c r="K18" s="9" t="n">
        <f aca="false">J18-I18</f>
        <v>5800</v>
      </c>
      <c r="L18" s="17" t="n">
        <f aca="false">J18/$B$8</f>
        <v>0.0278891406658532</v>
      </c>
      <c r="M18" s="8" t="n">
        <f aca="false">'输入快照-可交易状态'!I8</f>
        <v>10000</v>
      </c>
      <c r="N18" s="9" t="s">
        <v>149</v>
      </c>
    </row>
    <row r="19" customFormat="false" ht="15" hidden="false" customHeight="false" outlineLevel="0" collapsed="false">
      <c r="A19" s="9" t="s">
        <v>79</v>
      </c>
      <c r="B19" s="7" t="s">
        <v>81</v>
      </c>
      <c r="C19" s="7" t="s">
        <v>124</v>
      </c>
      <c r="D19" s="7" t="s">
        <v>83</v>
      </c>
      <c r="E19" s="8" t="n">
        <f aca="false">'输入快照-持仓批次'!E11</f>
        <v>10000</v>
      </c>
      <c r="F19" s="8" t="n">
        <f aca="false">'输入快照-可交易状态'!C9</f>
        <v>15.3</v>
      </c>
      <c r="G19" s="8" t="n">
        <v>0.92</v>
      </c>
      <c r="H19" s="9" t="n">
        <f aca="false">F19*G19</f>
        <v>14.076</v>
      </c>
      <c r="I19" s="8" t="n">
        <f aca="false">'输入快照-持仓批次'!E11*'输入快照-持仓批次'!F11*0.92</f>
        <v>150880</v>
      </c>
      <c r="J19" s="9" t="n">
        <f aca="false">E19*H19</f>
        <v>140760</v>
      </c>
      <c r="K19" s="9" t="n">
        <f aca="false">J19-I19</f>
        <v>-10120</v>
      </c>
      <c r="L19" s="17" t="n">
        <f aca="false">J19/$B$8</f>
        <v>0.136308175004358</v>
      </c>
      <c r="M19" s="8" t="n">
        <f aca="false">'输入快照-可交易状态'!I9</f>
        <v>10000</v>
      </c>
      <c r="N19" s="7" t="s">
        <v>150</v>
      </c>
    </row>
    <row r="20" customFormat="false" ht="15" hidden="false" customHeight="false" outlineLevel="0" collapsed="false">
      <c r="A20" s="18" t="s">
        <v>151</v>
      </c>
      <c r="B20" s="9"/>
      <c r="C20" s="9"/>
      <c r="D20" s="9"/>
      <c r="E20" s="9"/>
      <c r="F20" s="9"/>
      <c r="G20" s="9"/>
      <c r="H20" s="9"/>
      <c r="I20" s="9" t="n">
        <f aca="false">SUM(I13:I19)</f>
        <v>851230</v>
      </c>
      <c r="J20" s="9" t="n">
        <f aca="false">SUM(J13:J19)</f>
        <v>869820</v>
      </c>
      <c r="K20" s="9" t="n">
        <f aca="false">SUM(K13:K19)</f>
        <v>18590</v>
      </c>
      <c r="L20" s="17" t="n">
        <f aca="false">SUM(L13:L19)</f>
        <v>0.842310150485155</v>
      </c>
      <c r="M20" s="9"/>
      <c r="N20" s="9"/>
    </row>
    <row r="22" customFormat="false" ht="15" hidden="false" customHeight="false" outlineLevel="0" collapsed="false">
      <c r="A22" s="18" t="s">
        <v>152</v>
      </c>
      <c r="B22" s="9"/>
      <c r="C22" s="9"/>
      <c r="D22" s="9"/>
    </row>
    <row r="23" customFormat="false" ht="15" hidden="false" customHeight="false" outlineLevel="0" collapsed="false">
      <c r="A23" s="7" t="s">
        <v>153</v>
      </c>
      <c r="B23" s="9" t="n">
        <f aca="false">J20</f>
        <v>869820</v>
      </c>
      <c r="C23" s="9" t="str">
        <f aca="false">IF(ROUND(B23-869820,2)=0,"一致","差异"+TEXT(B23-869820,"0"))</f>
        <v>一致</v>
      </c>
      <c r="D23" s="9"/>
    </row>
    <row r="24" customFormat="false" ht="15" hidden="false" customHeight="false" outlineLevel="0" collapsed="false">
      <c r="A24" s="9" t="s">
        <v>154</v>
      </c>
      <c r="B24" s="9" t="n">
        <f aca="false">B4+B5*B6+J20-B7</f>
        <v>1032660</v>
      </c>
      <c r="C24" s="9" t="str">
        <f aca="false">IF(ROUND(B24-B8,2)=0,"一致","差异"+TEXT(B24-B8,"0"))</f>
        <v>一致</v>
      </c>
      <c r="D24" s="9"/>
    </row>
    <row r="25" customFormat="false" ht="15" hidden="false" customHeight="false" outlineLevel="0" collapsed="false">
      <c r="A25" s="7" t="s">
        <v>155</v>
      </c>
      <c r="B25" s="9" t="n">
        <f aca="false">B8-B9</f>
        <v>3660</v>
      </c>
      <c r="C25" s="9"/>
      <c r="D25" s="9"/>
    </row>
    <row r="26" customFormat="false" ht="15" hidden="false" customHeight="false" outlineLevel="0" collapsed="false">
      <c r="A26" s="7" t="s">
        <v>156</v>
      </c>
      <c r="B26" s="9" t="n">
        <f aca="false">L20</f>
        <v>0.842310150485155</v>
      </c>
      <c r="C26" s="9"/>
      <c r="D26" s="9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9"/>
    <col collapsed="false" customWidth="true" hidden="false" outlineLevel="0" max="3" min="3" style="0" width="11.99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" t="s">
        <v>157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6" t="s">
        <v>158</v>
      </c>
      <c r="B3" s="6" t="s">
        <v>159</v>
      </c>
      <c r="C3" s="6" t="s">
        <v>160</v>
      </c>
      <c r="D3" s="6" t="s">
        <v>161</v>
      </c>
      <c r="E3" s="6" t="s">
        <v>162</v>
      </c>
      <c r="F3" s="6" t="s">
        <v>163</v>
      </c>
    </row>
    <row r="4" customFormat="false" ht="15" hidden="false" customHeight="false" outlineLevel="0" collapsed="false">
      <c r="A4" s="9" t="s">
        <v>62</v>
      </c>
      <c r="B4" s="7" t="s">
        <v>164</v>
      </c>
      <c r="C4" s="7" t="s">
        <v>165</v>
      </c>
      <c r="D4" s="9" t="s">
        <v>166</v>
      </c>
      <c r="E4" s="7" t="s">
        <v>167</v>
      </c>
      <c r="F4" s="7" t="s">
        <v>168</v>
      </c>
    </row>
    <row r="5" customFormat="false" ht="15" hidden="false" customHeight="false" outlineLevel="0" collapsed="false">
      <c r="A5" s="9" t="s">
        <v>42</v>
      </c>
      <c r="B5" s="7" t="s">
        <v>169</v>
      </c>
      <c r="C5" s="7" t="s">
        <v>63</v>
      </c>
      <c r="D5" s="9" t="s">
        <v>170</v>
      </c>
      <c r="E5" s="9" t="s">
        <v>171</v>
      </c>
      <c r="F5" s="7" t="s">
        <v>172</v>
      </c>
    </row>
    <row r="6" customFormat="false" ht="15" hidden="false" customHeight="false" outlineLevel="0" collapsed="false">
      <c r="A6" s="9" t="s">
        <v>173</v>
      </c>
      <c r="B6" s="7" t="s">
        <v>174</v>
      </c>
      <c r="C6" s="7" t="s">
        <v>63</v>
      </c>
      <c r="D6" s="9" t="s">
        <v>170</v>
      </c>
      <c r="E6" s="9" t="s">
        <v>175</v>
      </c>
      <c r="F6" s="7" t="s">
        <v>176</v>
      </c>
    </row>
    <row r="7" customFormat="false" ht="15" hidden="false" customHeight="false" outlineLevel="0" collapsed="false">
      <c r="A7" s="9" t="s">
        <v>177</v>
      </c>
      <c r="B7" s="7" t="s">
        <v>178</v>
      </c>
      <c r="C7" s="7" t="s">
        <v>63</v>
      </c>
      <c r="D7" s="9" t="s">
        <v>170</v>
      </c>
      <c r="E7" s="7" t="s">
        <v>179</v>
      </c>
      <c r="F7" s="9" t="s">
        <v>180</v>
      </c>
    </row>
    <row r="8" customFormat="false" ht="15" hidden="false" customHeight="false" outlineLevel="0" collapsed="false">
      <c r="A8" s="9" t="s">
        <v>181</v>
      </c>
      <c r="B8" s="7" t="s">
        <v>164</v>
      </c>
      <c r="C8" s="7" t="s">
        <v>63</v>
      </c>
      <c r="D8" s="9" t="s">
        <v>170</v>
      </c>
      <c r="E8" s="7" t="s">
        <v>179</v>
      </c>
      <c r="F8" s="7" t="s">
        <v>182</v>
      </c>
    </row>
    <row r="9" customFormat="false" ht="15" hidden="false" customHeight="false" outlineLevel="0" collapsed="false">
      <c r="A9" s="9" t="s">
        <v>183</v>
      </c>
      <c r="B9" s="7" t="s">
        <v>169</v>
      </c>
      <c r="C9" s="7" t="s">
        <v>63</v>
      </c>
      <c r="D9" s="9" t="s">
        <v>170</v>
      </c>
      <c r="E9" s="7" t="s">
        <v>179</v>
      </c>
      <c r="F9" s="7" t="s">
        <v>184</v>
      </c>
    </row>
    <row r="11" customFormat="false" ht="15" hidden="false" customHeight="false" outlineLevel="0" collapsed="false">
      <c r="A11" s="19" t="s">
        <v>185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4.01"/>
    <col collapsed="false" customWidth="true" hidden="false" outlineLevel="0" max="3" min="3" style="0" width="11.99"/>
    <col collapsed="false" customWidth="true" hidden="false" outlineLevel="0" max="4" min="4" style="0" width="14.01"/>
    <col collapsed="false" customWidth="true" hidden="false" outlineLevel="0" max="7" min="5" style="0" width="10"/>
    <col collapsed="false" customWidth="true" hidden="false" outlineLevel="0" max="8" min="8" style="0" width="10.99"/>
    <col collapsed="false" customWidth="true" hidden="false" outlineLevel="0" max="9" min="9" style="0" width="11.99"/>
    <col collapsed="false" customWidth="true" hidden="false" outlineLevel="0" max="10" min="10" style="0" width="10"/>
    <col collapsed="false" customWidth="true" hidden="false" outlineLevel="0" max="11" min="11" style="0" width="14.01"/>
  </cols>
  <sheetData>
    <row r="1" customFormat="false" ht="24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187</v>
      </c>
    </row>
    <row r="4" customFormat="false" ht="15" hidden="false" customHeight="false" outlineLevel="0" collapsed="false">
      <c r="A4" s="16" t="s">
        <v>188</v>
      </c>
      <c r="B4" s="16" t="s">
        <v>189</v>
      </c>
      <c r="C4" s="16" t="s">
        <v>190</v>
      </c>
      <c r="D4" s="16" t="s">
        <v>191</v>
      </c>
      <c r="E4" s="16" t="s">
        <v>192</v>
      </c>
      <c r="F4" s="16" t="s">
        <v>193</v>
      </c>
      <c r="G4" s="16" t="s">
        <v>194</v>
      </c>
      <c r="H4" s="16" t="s">
        <v>195</v>
      </c>
      <c r="I4" s="16" t="s">
        <v>196</v>
      </c>
      <c r="J4" s="16" t="s">
        <v>50</v>
      </c>
      <c r="K4" s="16" t="s">
        <v>197</v>
      </c>
    </row>
    <row r="5" customFormat="false" ht="15" hidden="false" customHeight="false" outlineLevel="0" collapsed="false">
      <c r="A5" s="20" t="s">
        <v>55</v>
      </c>
      <c r="B5" s="8" t="n">
        <v>5000</v>
      </c>
      <c r="C5" s="8" t="n">
        <v>32.8</v>
      </c>
      <c r="D5" s="9" t="n">
        <f aca="false">B5*C5</f>
        <v>164000</v>
      </c>
      <c r="E5" s="9" t="n">
        <f aca="false">MAX(D5*0.0003,5)</f>
        <v>49.2</v>
      </c>
      <c r="F5" s="9" t="n">
        <f aca="false">D5*0.0005</f>
        <v>82</v>
      </c>
      <c r="G5" s="9" t="n">
        <v>0</v>
      </c>
      <c r="H5" s="9" t="n">
        <f aca="false">E5+F5+G5</f>
        <v>131.2</v>
      </c>
      <c r="I5" s="9" t="n">
        <f aca="false">D5-H5</f>
        <v>163868.8</v>
      </c>
      <c r="J5" s="8" t="n">
        <v>39.23</v>
      </c>
      <c r="K5" s="9" t="n">
        <f aca="false">B5*(C5-J5)-H5</f>
        <v>-32281.2</v>
      </c>
    </row>
    <row r="6" customFormat="false" ht="15" hidden="false" customHeight="false" outlineLevel="0" collapsed="false">
      <c r="A6" s="20" t="s">
        <v>73</v>
      </c>
      <c r="B6" s="8" t="n">
        <v>200</v>
      </c>
      <c r="C6" s="8" t="n">
        <v>105</v>
      </c>
      <c r="D6" s="9" t="n">
        <f aca="false">B6*C6</f>
        <v>21000</v>
      </c>
      <c r="E6" s="9" t="n">
        <f aca="false">MAX(D6*0.0003,5)</f>
        <v>6.3</v>
      </c>
      <c r="F6" s="9" t="n">
        <f aca="false">D6*0.0005</f>
        <v>10.5</v>
      </c>
      <c r="G6" s="9" t="n">
        <v>0</v>
      </c>
      <c r="H6" s="9" t="n">
        <f aca="false">E6+F6+G6</f>
        <v>16.8</v>
      </c>
      <c r="I6" s="9" t="n">
        <f aca="false">D6-H6</f>
        <v>20983.2</v>
      </c>
      <c r="J6" s="8" t="n">
        <v>82.4</v>
      </c>
      <c r="K6" s="9" t="n">
        <f aca="false">B6*(C6-J6)-H6</f>
        <v>4503.2</v>
      </c>
    </row>
    <row r="7" customFormat="false" ht="15" hidden="false" customHeight="false" outlineLevel="0" collapsed="false">
      <c r="A7" s="20" t="s">
        <v>79</v>
      </c>
      <c r="B7" s="8" t="n">
        <v>8000</v>
      </c>
      <c r="C7" s="8" t="n">
        <v>14.076</v>
      </c>
      <c r="D7" s="9" t="n">
        <f aca="false">B7*C7</f>
        <v>112608</v>
      </c>
      <c r="E7" s="9" t="n">
        <v>0</v>
      </c>
      <c r="F7" s="9" t="n">
        <v>0</v>
      </c>
      <c r="G7" s="9" t="n">
        <f aca="false">D7*0.001</f>
        <v>112.608</v>
      </c>
      <c r="H7" s="9" t="n">
        <f aca="false">E7+F7+G7</f>
        <v>112.608</v>
      </c>
      <c r="I7" s="9" t="n">
        <f aca="false">D7-H7</f>
        <v>112495.392</v>
      </c>
      <c r="J7" s="8" t="n">
        <v>15.088</v>
      </c>
      <c r="K7" s="9" t="n">
        <f aca="false">B7*(C7-J7)-H7</f>
        <v>-8208.60799999999</v>
      </c>
    </row>
    <row r="8" customFormat="false" ht="15" hidden="false" customHeight="false" outlineLevel="0" collapsed="false">
      <c r="A8" s="18" t="s">
        <v>151</v>
      </c>
      <c r="B8" s="9"/>
      <c r="C8" s="9"/>
      <c r="D8" s="9" t="n">
        <f aca="false">SUM(D5:D7)</f>
        <v>297608</v>
      </c>
      <c r="E8" s="9" t="n">
        <f aca="false">SUM(E5:E7)</f>
        <v>55.5</v>
      </c>
      <c r="F8" s="9" t="n">
        <f aca="false">SUM(F5:F7)</f>
        <v>92.5</v>
      </c>
      <c r="G8" s="9" t="n">
        <f aca="false">SUM(G5:G7)</f>
        <v>112.608</v>
      </c>
      <c r="H8" s="9" t="n">
        <f aca="false">SUM(H5:H7)</f>
        <v>260.608</v>
      </c>
      <c r="I8" s="9" t="n">
        <f aca="false">SUM(I5:I7)</f>
        <v>297347.392</v>
      </c>
      <c r="J8" s="9"/>
      <c r="K8" s="9" t="n">
        <f aca="false">SUM(K5:K7)</f>
        <v>-35986.608</v>
      </c>
    </row>
    <row r="10" customFormat="false" ht="15" hidden="false" customHeight="false" outlineLevel="0" collapsed="false">
      <c r="A10" s="2" t="s">
        <v>198</v>
      </c>
    </row>
    <row r="11" customFormat="false" ht="15" hidden="false" customHeight="false" outlineLevel="0" collapsed="false">
      <c r="A11" s="16" t="s">
        <v>188</v>
      </c>
      <c r="B11" s="16" t="s">
        <v>199</v>
      </c>
      <c r="C11" s="16" t="s">
        <v>136</v>
      </c>
      <c r="D11" s="16" t="s">
        <v>200</v>
      </c>
      <c r="E11" s="6"/>
    </row>
    <row r="12" customFormat="false" ht="15" hidden="false" customHeight="false" outlineLevel="0" collapsed="false">
      <c r="A12" s="9" t="s">
        <v>55</v>
      </c>
      <c r="B12" s="8" t="n">
        <v>0</v>
      </c>
      <c r="C12" s="8" t="n">
        <v>32.8</v>
      </c>
      <c r="D12" s="9" t="n">
        <f aca="false">B12*C12</f>
        <v>0</v>
      </c>
    </row>
    <row r="13" customFormat="false" ht="15" hidden="false" customHeight="false" outlineLevel="0" collapsed="false">
      <c r="A13" s="9" t="s">
        <v>64</v>
      </c>
      <c r="B13" s="8" t="n">
        <v>3000</v>
      </c>
      <c r="C13" s="8" t="n">
        <v>58.4</v>
      </c>
      <c r="D13" s="9" t="n">
        <f aca="false">B13*C13</f>
        <v>175200</v>
      </c>
    </row>
    <row r="14" customFormat="false" ht="15" hidden="false" customHeight="false" outlineLevel="0" collapsed="false">
      <c r="A14" s="9" t="s">
        <v>67</v>
      </c>
      <c r="B14" s="8" t="n">
        <v>8000</v>
      </c>
      <c r="C14" s="8" t="n">
        <v>9.62</v>
      </c>
      <c r="D14" s="9" t="n">
        <f aca="false">B14*C14</f>
        <v>76960</v>
      </c>
    </row>
    <row r="15" customFormat="false" ht="15" hidden="false" customHeight="false" outlineLevel="0" collapsed="false">
      <c r="A15" s="9" t="s">
        <v>70</v>
      </c>
      <c r="B15" s="8" t="n">
        <v>6000</v>
      </c>
      <c r="C15" s="8" t="n">
        <v>12.35</v>
      </c>
      <c r="D15" s="9" t="n">
        <f aca="false">B15*C15</f>
        <v>74100</v>
      </c>
    </row>
    <row r="16" customFormat="false" ht="15" hidden="false" customHeight="false" outlineLevel="0" collapsed="false">
      <c r="A16" s="9" t="s">
        <v>73</v>
      </c>
      <c r="B16" s="8" t="n">
        <v>1800</v>
      </c>
      <c r="C16" s="8" t="n">
        <v>105</v>
      </c>
      <c r="D16" s="9" t="n">
        <f aca="false">B16*C16</f>
        <v>189000</v>
      </c>
    </row>
    <row r="17" customFormat="false" ht="15" hidden="false" customHeight="false" outlineLevel="0" collapsed="false">
      <c r="A17" s="9" t="s">
        <v>75</v>
      </c>
      <c r="B17" s="8" t="n">
        <v>10000</v>
      </c>
      <c r="C17" s="8" t="n">
        <v>2.88</v>
      </c>
      <c r="D17" s="9" t="n">
        <f aca="false">B17*C17</f>
        <v>28800</v>
      </c>
    </row>
    <row r="18" customFormat="false" ht="15" hidden="false" customHeight="false" outlineLevel="0" collapsed="false">
      <c r="A18" s="9" t="s">
        <v>79</v>
      </c>
      <c r="B18" s="8" t="n">
        <v>2000</v>
      </c>
      <c r="C18" s="8" t="n">
        <v>14.076</v>
      </c>
      <c r="D18" s="9" t="n">
        <f aca="false">B18*C18</f>
        <v>28152</v>
      </c>
    </row>
    <row r="19" customFormat="false" ht="15" hidden="false" customHeight="false" outlineLevel="0" collapsed="false">
      <c r="A19" s="18" t="s">
        <v>201</v>
      </c>
      <c r="B19" s="9"/>
      <c r="C19" s="9"/>
      <c r="D19" s="9" t="n">
        <f aca="false">SUM(D12:D18)</f>
        <v>572212</v>
      </c>
    </row>
    <row r="21" customFormat="false" ht="15" hidden="false" customHeight="false" outlineLevel="0" collapsed="false">
      <c r="A21" s="18" t="s">
        <v>202</v>
      </c>
      <c r="B21" s="9" t="n">
        <f aca="false">142500-50000</f>
        <v>92500</v>
      </c>
    </row>
    <row r="22" customFormat="false" ht="15" hidden="false" customHeight="false" outlineLevel="0" collapsed="false">
      <c r="A22" s="18" t="s">
        <v>203</v>
      </c>
      <c r="B22" s="9" t="n">
        <f aca="false">I8</f>
        <v>297347.392</v>
      </c>
    </row>
    <row r="23" customFormat="false" ht="15" hidden="false" customHeight="false" outlineLevel="0" collapsed="false">
      <c r="A23" s="18" t="s">
        <v>204</v>
      </c>
      <c r="B23" s="9" t="n">
        <f aca="false">B21+B22</f>
        <v>389847.392</v>
      </c>
    </row>
    <row r="24" customFormat="false" ht="15" hidden="false" customHeight="false" outlineLevel="0" collapsed="false">
      <c r="A24" s="20" t="s">
        <v>205</v>
      </c>
      <c r="B24" s="9" t="n">
        <f aca="false">3000*7.18</f>
        <v>21540</v>
      </c>
    </row>
    <row r="25" customFormat="false" ht="15" hidden="false" customHeight="false" outlineLevel="0" collapsed="false">
      <c r="A25" s="18" t="s">
        <v>206</v>
      </c>
      <c r="B25" s="9" t="n">
        <f aca="false">D19</f>
        <v>572212</v>
      </c>
    </row>
    <row r="26" customFormat="false" ht="15" hidden="false" customHeight="false" outlineLevel="0" collapsed="false">
      <c r="A26" s="18" t="s">
        <v>36</v>
      </c>
      <c r="B26" s="9" t="n">
        <f aca="false">1200</f>
        <v>1200</v>
      </c>
    </row>
    <row r="27" customFormat="false" ht="15" hidden="false" customHeight="false" outlineLevel="0" collapsed="false">
      <c r="A27" s="18" t="s">
        <v>207</v>
      </c>
      <c r="B27" s="9" t="n">
        <f aca="false">B25+B23+B24-B26</f>
        <v>982399.392</v>
      </c>
    </row>
    <row r="28" customFormat="false" ht="15" hidden="false" customHeight="false" outlineLevel="0" collapsed="false">
      <c r="A28" s="20" t="s">
        <v>208</v>
      </c>
      <c r="B28" s="17" t="n">
        <f aca="false">D16/B27</f>
        <v>0.192386112551666</v>
      </c>
    </row>
    <row r="29" customFormat="false" ht="15" hidden="false" customHeight="false" outlineLevel="0" collapsed="false">
      <c r="A29" s="18" t="s">
        <v>209</v>
      </c>
      <c r="B29" s="17" t="n">
        <f aca="false">(D12+D13+D16+D18)/B27</f>
        <v>0.399381354665985</v>
      </c>
    </row>
    <row r="30" customFormat="false" ht="15" hidden="false" customHeight="false" outlineLevel="0" collapsed="false">
      <c r="A30" s="18" t="s">
        <v>210</v>
      </c>
      <c r="B30" s="17" t="n">
        <f aca="false">(D12+D13+D16)/B27</f>
        <v>0.370724985139242</v>
      </c>
    </row>
    <row r="31" customFormat="false" ht="15" hidden="false" customHeight="false" outlineLevel="0" collapsed="false">
      <c r="A31" s="18" t="s">
        <v>211</v>
      </c>
      <c r="B31" s="17" t="n">
        <f aca="false">(D18+B24)/B27</f>
        <v>0.0505822788619967</v>
      </c>
    </row>
    <row r="32" customFormat="false" ht="15" hidden="false" customHeight="false" outlineLevel="0" collapsed="false">
      <c r="A32" s="20" t="s">
        <v>212</v>
      </c>
      <c r="B32" s="17" t="n">
        <f aca="false">B23/B27</f>
        <v>0.396831874260769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24" hidden="false" customHeight="true" outlineLevel="0" collapsed="false">
      <c r="A1" s="21" t="s">
        <v>213</v>
      </c>
      <c r="B1" s="21"/>
      <c r="C1" s="21"/>
      <c r="D1" s="21"/>
    </row>
    <row r="3" customFormat="false" ht="15" hidden="false" customHeight="false" outlineLevel="0" collapsed="false">
      <c r="A3" s="16" t="s">
        <v>214</v>
      </c>
      <c r="B3" s="16" t="s">
        <v>215</v>
      </c>
      <c r="C3" s="16" t="s">
        <v>216</v>
      </c>
      <c r="D3" s="16" t="s">
        <v>217</v>
      </c>
    </row>
    <row r="4" customFormat="false" ht="15" hidden="false" customHeight="false" outlineLevel="0" collapsed="false">
      <c r="A4" s="9" t="s">
        <v>218</v>
      </c>
      <c r="B4" s="9" t="n">
        <f aca="false">持仓勾稽!B4</f>
        <v>142500</v>
      </c>
      <c r="C4" s="9" t="n">
        <f aca="false">B4-50000</f>
        <v>92500</v>
      </c>
      <c r="D4" s="9" t="n">
        <f aca="false">交易明细!B23</f>
        <v>389847.392</v>
      </c>
    </row>
    <row r="5" customFormat="false" ht="15" hidden="false" customHeight="false" outlineLevel="0" collapsed="false">
      <c r="A5" s="9" t="s">
        <v>219</v>
      </c>
      <c r="B5" s="9" t="n">
        <f aca="false">3000*7.18</f>
        <v>21540</v>
      </c>
      <c r="C5" s="9" t="n">
        <f aca="false">3000*7.18</f>
        <v>21540</v>
      </c>
      <c r="D5" s="9" t="n">
        <f aca="false">交易明细!B24</f>
        <v>21540</v>
      </c>
    </row>
    <row r="6" customFormat="false" ht="15" hidden="false" customHeight="false" outlineLevel="0" collapsed="false">
      <c r="A6" s="7" t="s">
        <v>220</v>
      </c>
      <c r="B6" s="9" t="n">
        <f aca="false">持仓勾稽!J20</f>
        <v>869820</v>
      </c>
      <c r="C6" s="9" t="n">
        <f aca="false">持仓勾稽!J20</f>
        <v>869820</v>
      </c>
      <c r="D6" s="9" t="n">
        <f aca="false">交易明细!B25</f>
        <v>572212</v>
      </c>
    </row>
    <row r="7" customFormat="false" ht="15" hidden="false" customHeight="false" outlineLevel="0" collapsed="false">
      <c r="A7" s="7" t="s">
        <v>221</v>
      </c>
      <c r="B7" s="9" t="n">
        <f aca="false">持仓勾稽!B7</f>
        <v>1200</v>
      </c>
      <c r="C7" s="9" t="n">
        <f aca="false">持仓勾稽!B7</f>
        <v>1200</v>
      </c>
      <c r="D7" s="9" t="n">
        <f aca="false">交易明细!B26</f>
        <v>1200</v>
      </c>
    </row>
    <row r="8" customFormat="false" ht="15" hidden="false" customHeight="false" outlineLevel="0" collapsed="false">
      <c r="A8" s="7" t="s">
        <v>222</v>
      </c>
      <c r="B8" s="9" t="n">
        <f aca="false">持仓勾稽!B8</f>
        <v>1032660</v>
      </c>
      <c r="C8" s="9" t="n">
        <f aca="false">C4+C5+C6-C7</f>
        <v>982660</v>
      </c>
      <c r="D8" s="9" t="n">
        <f aca="false">交易明细!B27</f>
        <v>982399.392</v>
      </c>
    </row>
    <row r="9" customFormat="false" ht="15" hidden="false" customHeight="false" outlineLevel="0" collapsed="false">
      <c r="A9" s="9" t="s">
        <v>223</v>
      </c>
      <c r="B9" s="9" t="n">
        <f aca="false">B4/B8</f>
        <v>0.137993143919586</v>
      </c>
      <c r="C9" s="9" t="n">
        <f aca="false">C4/C8</f>
        <v>0.0941322532717318</v>
      </c>
      <c r="D9" s="9" t="n">
        <f aca="false">D4/D8</f>
        <v>0.396831874260769</v>
      </c>
    </row>
    <row r="10" customFormat="false" ht="15" hidden="false" customHeight="false" outlineLevel="0" collapsed="false">
      <c r="A10" s="7" t="s">
        <v>224</v>
      </c>
      <c r="B10" s="9" t="s">
        <v>225</v>
      </c>
      <c r="C10" s="9" t="str">
        <f aca="false">IF(C9&gt;=0.1,"达标","不达标")</f>
        <v>不达标</v>
      </c>
      <c r="D10" s="9" t="str">
        <f aca="false">IF(D9&gt;=0.1,"达标","达标")</f>
        <v>达标</v>
      </c>
    </row>
    <row r="11" customFormat="false" ht="15" hidden="false" customHeight="false" outlineLevel="0" collapsed="false">
      <c r="A11" s="22" t="s">
        <v>226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1.99"/>
    <col collapsed="false" customWidth="true" hidden="false" outlineLevel="0" max="6" min="6" style="0" width="26"/>
    <col collapsed="false" customWidth="true" hidden="false" outlineLevel="0" max="7" min="7" style="0" width="8"/>
    <col collapsed="false" customWidth="true" hidden="false" outlineLevel="0" max="8" min="8" style="0" width="19.99"/>
    <col collapsed="false" customWidth="true" hidden="false" outlineLevel="0" max="9" min="9" style="0" width="30.01"/>
    <col collapsed="false" customWidth="true" hidden="false" outlineLevel="0" max="10" min="10" style="0" width="11.99"/>
  </cols>
  <sheetData>
    <row r="1" customFormat="false" ht="24" hidden="false" customHeight="true" outlineLevel="0" collapsed="false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6" t="s">
        <v>228</v>
      </c>
      <c r="B3" s="6" t="s">
        <v>229</v>
      </c>
      <c r="C3" s="6" t="s">
        <v>230</v>
      </c>
      <c r="D3" s="6" t="s">
        <v>231</v>
      </c>
      <c r="E3" s="6" t="s">
        <v>232</v>
      </c>
      <c r="F3" s="6" t="s">
        <v>233</v>
      </c>
      <c r="G3" s="6" t="s">
        <v>234</v>
      </c>
      <c r="H3" s="6" t="s">
        <v>235</v>
      </c>
      <c r="I3" s="6" t="s">
        <v>236</v>
      </c>
      <c r="J3" s="6" t="s">
        <v>237</v>
      </c>
    </row>
    <row r="4" customFormat="false" ht="15" hidden="false" customHeight="false" outlineLevel="0" collapsed="false">
      <c r="A4" s="7" t="s">
        <v>238</v>
      </c>
      <c r="B4" s="9" t="s">
        <v>239</v>
      </c>
      <c r="C4" s="17" t="n">
        <f aca="false">210000/(142500-50000+3000*7.18+869820-1200)</f>
        <v>0.213705656076364</v>
      </c>
      <c r="D4" s="9" t="s">
        <v>240</v>
      </c>
      <c r="E4" s="17" t="n">
        <f aca="false">交易明细!B28</f>
        <v>0.192386112551666</v>
      </c>
      <c r="F4" s="7" t="s">
        <v>241</v>
      </c>
      <c r="G4" s="23" t="s">
        <v>242</v>
      </c>
      <c r="H4" s="7" t="s">
        <v>243</v>
      </c>
      <c r="I4" s="7" t="s">
        <v>244</v>
      </c>
      <c r="J4" s="9" t="s">
        <v>245</v>
      </c>
    </row>
    <row r="5" customFormat="false" ht="15" hidden="false" customHeight="false" outlineLevel="0" collapsed="false">
      <c r="A5" s="7" t="s">
        <v>246</v>
      </c>
      <c r="B5" s="9" t="s">
        <v>247</v>
      </c>
      <c r="C5" s="17" t="n">
        <f aca="false">(164000+175200+210000+140760)/(142500-50000+3000*7.18+869820-1200)</f>
        <v>0.702135021268801</v>
      </c>
      <c r="D5" s="7" t="s">
        <v>248</v>
      </c>
      <c r="E5" s="17" t="n">
        <f aca="false">交易明细!B29</f>
        <v>0.399381354665985</v>
      </c>
      <c r="F5" s="7" t="s">
        <v>249</v>
      </c>
      <c r="G5" s="23" t="s">
        <v>242</v>
      </c>
      <c r="H5" s="7" t="s">
        <v>250</v>
      </c>
      <c r="I5" s="9" t="s">
        <v>251</v>
      </c>
      <c r="J5" s="9" t="s">
        <v>252</v>
      </c>
    </row>
    <row r="6" customFormat="false" ht="15" hidden="false" customHeight="false" outlineLevel="0" collapsed="false">
      <c r="A6" s="7" t="s">
        <v>253</v>
      </c>
      <c r="B6" s="9" t="s">
        <v>254</v>
      </c>
      <c r="C6" s="17" t="n">
        <f aca="false">(164000+175200+210000)/(142500-50000+3000*7.18+869820-1200)</f>
        <v>0.558891172938758</v>
      </c>
      <c r="D6" s="7" t="s">
        <v>255</v>
      </c>
      <c r="E6" s="17" t="n">
        <f aca="false">交易明细!B30</f>
        <v>0.370724985139242</v>
      </c>
      <c r="F6" s="7" t="s">
        <v>256</v>
      </c>
      <c r="G6" s="23" t="s">
        <v>242</v>
      </c>
      <c r="H6" s="7" t="s">
        <v>257</v>
      </c>
      <c r="I6" s="7" t="s">
        <v>258</v>
      </c>
      <c r="J6" s="9" t="s">
        <v>252</v>
      </c>
    </row>
    <row r="7" customFormat="false" ht="15" hidden="false" customHeight="false" outlineLevel="0" collapsed="false">
      <c r="A7" s="7" t="s">
        <v>259</v>
      </c>
      <c r="B7" s="9" t="s">
        <v>260</v>
      </c>
      <c r="C7" s="17" t="n">
        <f aca="false">(140760+3000*7.18)/(142500-50000+3000*7.18+869820-1200)</f>
        <v>0.16516394276759</v>
      </c>
      <c r="D7" s="7" t="s">
        <v>261</v>
      </c>
      <c r="E7" s="17" t="n">
        <f aca="false">交易明细!B31</f>
        <v>0.0505822788619967</v>
      </c>
      <c r="F7" s="7" t="s">
        <v>262</v>
      </c>
      <c r="G7" s="23" t="s">
        <v>242</v>
      </c>
      <c r="H7" s="7" t="s">
        <v>263</v>
      </c>
      <c r="I7" s="7" t="s">
        <v>264</v>
      </c>
      <c r="J7" s="9" t="s">
        <v>252</v>
      </c>
    </row>
    <row r="8" customFormat="false" ht="15" hidden="false" customHeight="false" outlineLevel="0" collapsed="false">
      <c r="A8" s="9" t="s">
        <v>265</v>
      </c>
      <c r="B8" s="9" t="s">
        <v>266</v>
      </c>
      <c r="C8" s="17" t="n">
        <f aca="false">92500/(142500-50000+3000*7.18+869820-1200)</f>
        <v>0.0941322532717318</v>
      </c>
      <c r="D8" s="7" t="s">
        <v>267</v>
      </c>
      <c r="E8" s="17" t="n">
        <f aca="false">交易明细!B32</f>
        <v>0.396831874260769</v>
      </c>
      <c r="F8" s="7" t="s">
        <v>268</v>
      </c>
      <c r="G8" s="23" t="s">
        <v>242</v>
      </c>
      <c r="H8" s="7" t="s">
        <v>269</v>
      </c>
      <c r="I8" s="7" t="s">
        <v>270</v>
      </c>
      <c r="J8" s="9" t="s">
        <v>271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3" min="2" style="0" width="16"/>
    <col collapsed="false" customWidth="true" hidden="false" outlineLevel="0" max="4" min="4" style="0" width="14.01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272</v>
      </c>
      <c r="B1" s="1"/>
      <c r="C1" s="1"/>
      <c r="D1" s="1"/>
      <c r="E1" s="1"/>
    </row>
    <row r="3" customFormat="false" ht="15" hidden="false" customHeight="false" outlineLevel="0" collapsed="false">
      <c r="A3" s="16" t="s">
        <v>273</v>
      </c>
      <c r="B3" s="16" t="s">
        <v>274</v>
      </c>
      <c r="C3" s="24" t="s">
        <v>275</v>
      </c>
      <c r="D3" s="16" t="s">
        <v>276</v>
      </c>
      <c r="E3" s="16" t="s">
        <v>95</v>
      </c>
    </row>
    <row r="4" customFormat="false" ht="15" hidden="false" customHeight="false" outlineLevel="0" collapsed="false">
      <c r="A4" s="9" t="s">
        <v>277</v>
      </c>
      <c r="B4" s="9" t="s">
        <v>278</v>
      </c>
      <c r="C4" s="9" t="s">
        <v>278</v>
      </c>
      <c r="D4" s="17" t="n">
        <f aca="false">交易明细!B28</f>
        <v>0.192386112551666</v>
      </c>
      <c r="E4" s="7" t="s">
        <v>279</v>
      </c>
    </row>
    <row r="5" customFormat="false" ht="15" hidden="false" customHeight="false" outlineLevel="0" collapsed="false">
      <c r="A5" s="7" t="s">
        <v>280</v>
      </c>
      <c r="B5" s="9" t="s">
        <v>281</v>
      </c>
      <c r="C5" s="9" t="s">
        <v>282</v>
      </c>
      <c r="D5" s="17" t="n">
        <f aca="false">交易明细!B29</f>
        <v>0.399381354665985</v>
      </c>
      <c r="E5" s="9" t="s">
        <v>283</v>
      </c>
    </row>
    <row r="6" customFormat="false" ht="15" hidden="false" customHeight="false" outlineLevel="0" collapsed="false">
      <c r="A6" s="7" t="s">
        <v>284</v>
      </c>
      <c r="B6" s="9" t="s">
        <v>285</v>
      </c>
      <c r="C6" s="9" t="s">
        <v>286</v>
      </c>
      <c r="D6" s="17" t="n">
        <f aca="false">交易明细!B30</f>
        <v>0.370724985139242</v>
      </c>
      <c r="E6" s="9"/>
    </row>
    <row r="7" customFormat="false" ht="15" hidden="false" customHeight="false" outlineLevel="0" collapsed="false">
      <c r="A7" s="7" t="s">
        <v>287</v>
      </c>
      <c r="B7" s="9" t="s">
        <v>288</v>
      </c>
      <c r="C7" s="9" t="s">
        <v>289</v>
      </c>
      <c r="D7" s="17" t="n">
        <f aca="false">交易明细!B31</f>
        <v>0.0505822788619967</v>
      </c>
      <c r="E7" s="9" t="s">
        <v>290</v>
      </c>
    </row>
    <row r="8" customFormat="false" ht="15" hidden="false" customHeight="false" outlineLevel="0" collapsed="false">
      <c r="A8" s="9" t="s">
        <v>291</v>
      </c>
      <c r="B8" s="9" t="s">
        <v>292</v>
      </c>
      <c r="C8" s="9" t="s">
        <v>293</v>
      </c>
      <c r="D8" s="17" t="n">
        <f aca="false">交易明细!B32</f>
        <v>0.396831874260769</v>
      </c>
      <c r="E8" s="7" t="s">
        <v>294</v>
      </c>
    </row>
    <row r="9" customFormat="false" ht="15" hidden="false" customHeight="false" outlineLevel="0" collapsed="false">
      <c r="A9" s="7" t="s">
        <v>295</v>
      </c>
      <c r="B9" s="9" t="s">
        <v>296</v>
      </c>
      <c r="C9" s="7" t="s">
        <v>297</v>
      </c>
      <c r="D9" s="7" t="s">
        <v>298</v>
      </c>
      <c r="E9" s="7" t="s">
        <v>299</v>
      </c>
    </row>
    <row r="10" customFormat="false" ht="15" hidden="false" customHeight="false" outlineLevel="0" collapsed="false">
      <c r="A10" s="7" t="s">
        <v>300</v>
      </c>
      <c r="B10" s="9" t="s">
        <v>301</v>
      </c>
      <c r="C10" s="9" t="s">
        <v>302</v>
      </c>
      <c r="D10" s="9" t="n">
        <f aca="false">交易明细!D8</f>
        <v>297608</v>
      </c>
      <c r="E10" s="7" t="s">
        <v>303</v>
      </c>
    </row>
    <row r="11" customFormat="false" ht="15" hidden="false" customHeight="false" outlineLevel="0" collapsed="false">
      <c r="A11" s="25" t="s">
        <v>304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3.01"/>
    <col collapsed="false" customWidth="true" hidden="false" outlineLevel="0" max="5" min="5" style="0" width="11.99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305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306</v>
      </c>
    </row>
    <row r="4" customFormat="false" ht="15" hidden="false" customHeight="false" outlineLevel="0" collapsed="false">
      <c r="A4" s="16" t="s">
        <v>307</v>
      </c>
      <c r="B4" s="16" t="s">
        <v>308</v>
      </c>
      <c r="C4" s="16" t="s">
        <v>309</v>
      </c>
      <c r="D4" s="16" t="s">
        <v>310</v>
      </c>
      <c r="E4" s="16" t="s">
        <v>311</v>
      </c>
      <c r="F4" s="16" t="s">
        <v>312</v>
      </c>
      <c r="G4" s="16" t="s">
        <v>313</v>
      </c>
    </row>
    <row r="5" customFormat="false" ht="15" hidden="false" customHeight="false" outlineLevel="0" collapsed="false">
      <c r="A5" s="7" t="s">
        <v>314</v>
      </c>
      <c r="B5" s="7" t="s">
        <v>315</v>
      </c>
      <c r="C5" s="7" t="s">
        <v>316</v>
      </c>
      <c r="D5" s="9" t="n">
        <v>45776.96</v>
      </c>
      <c r="E5" s="17" t="n">
        <f aca="false">D5/982399</f>
        <v>0.0465971158358264</v>
      </c>
      <c r="F5" s="17" t="n">
        <f aca="false">869820*0.08/982660</f>
        <v>0.070813506197464</v>
      </c>
      <c r="G5" s="7" t="s">
        <v>60</v>
      </c>
    </row>
    <row r="6" customFormat="false" ht="15" hidden="false" customHeight="false" outlineLevel="0" collapsed="false">
      <c r="A6" s="7" t="s">
        <v>317</v>
      </c>
      <c r="B6" s="9" t="s">
        <v>301</v>
      </c>
      <c r="C6" s="9" t="s">
        <v>225</v>
      </c>
      <c r="D6" s="9" t="n">
        <v>0</v>
      </c>
      <c r="E6" s="17" t="n">
        <v>0</v>
      </c>
      <c r="F6" s="17" t="n">
        <v>0</v>
      </c>
      <c r="G6" s="7" t="s">
        <v>60</v>
      </c>
    </row>
    <row r="7" customFormat="false" ht="15" hidden="false" customHeight="false" outlineLevel="0" collapsed="false">
      <c r="A7" s="7" t="s">
        <v>318</v>
      </c>
      <c r="B7" s="7" t="s">
        <v>319</v>
      </c>
      <c r="C7" s="7" t="s">
        <v>320</v>
      </c>
      <c r="D7" s="9" t="n">
        <v>57221.2</v>
      </c>
      <c r="E7" s="17" t="n">
        <f aca="false">D7/982399</f>
        <v>0.058246394794783</v>
      </c>
      <c r="F7" s="17" t="n">
        <f aca="false">869820*0.1/982660</f>
        <v>0.08851688274683</v>
      </c>
      <c r="G7" s="7" t="s">
        <v>60</v>
      </c>
    </row>
    <row r="8" customFormat="false" ht="15" hidden="false" customHeight="false" outlineLevel="0" collapsed="false">
      <c r="A8" s="7" t="s">
        <v>321</v>
      </c>
      <c r="B8" s="7" t="s">
        <v>322</v>
      </c>
      <c r="C8" s="7" t="s">
        <v>323</v>
      </c>
      <c r="D8" s="9" t="n">
        <v>67845.8</v>
      </c>
      <c r="E8" s="17" t="n">
        <f aca="false">D8/982399</f>
        <v>0.0690613488002329</v>
      </c>
      <c r="F8" s="17" t="n">
        <f aca="false">(689960*0.15+179860*0.05)/982660</f>
        <v>0.114471943500295</v>
      </c>
      <c r="G8" s="7" t="s">
        <v>63</v>
      </c>
    </row>
    <row r="9" customFormat="false" ht="15" hidden="false" customHeight="false" outlineLevel="0" collapsed="false">
      <c r="A9" s="26" t="s">
        <v>324</v>
      </c>
    </row>
    <row r="11" customFormat="false" ht="15" hidden="false" customHeight="false" outlineLevel="0" collapsed="false">
      <c r="A11" s="27" t="s">
        <v>325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.01"/>
    <col collapsed="false" customWidth="true" hidden="false" outlineLevel="0" max="3" min="3" style="0" width="19.99"/>
    <col collapsed="false" customWidth="true" hidden="false" outlineLevel="0" max="4" min="4" style="0" width="22.01"/>
    <col collapsed="false" customWidth="true" hidden="false" outlineLevel="0" max="5" min="5" style="0" width="30.01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24"/>
    <col collapsed="false" customWidth="true" hidden="false" outlineLevel="0" max="10" min="10" style="0" width="22.01"/>
  </cols>
  <sheetData>
    <row r="1" customFormat="false" ht="24" hidden="false" customHeight="true" outlineLevel="0" collapsed="false">
      <c r="A1" s="21" t="s">
        <v>326</v>
      </c>
      <c r="B1" s="21"/>
      <c r="C1" s="21"/>
      <c r="D1" s="21"/>
      <c r="E1" s="21"/>
      <c r="F1" s="21"/>
      <c r="G1" s="21"/>
      <c r="H1" s="21"/>
      <c r="I1" s="21"/>
      <c r="J1" s="21"/>
    </row>
    <row r="3" customFormat="false" ht="15" hidden="false" customHeight="false" outlineLevel="0" collapsed="false">
      <c r="A3" s="6" t="s">
        <v>237</v>
      </c>
      <c r="B3" s="6" t="s">
        <v>327</v>
      </c>
      <c r="C3" s="6" t="s">
        <v>328</v>
      </c>
      <c r="D3" s="6" t="s">
        <v>329</v>
      </c>
      <c r="E3" s="6" t="s">
        <v>330</v>
      </c>
      <c r="F3" s="6" t="s">
        <v>331</v>
      </c>
      <c r="G3" s="6" t="s">
        <v>332</v>
      </c>
      <c r="H3" s="6" t="s">
        <v>333</v>
      </c>
      <c r="I3" s="6" t="s">
        <v>334</v>
      </c>
      <c r="J3" s="6" t="s">
        <v>335</v>
      </c>
    </row>
    <row r="4" customFormat="false" ht="15" hidden="false" customHeight="false" outlineLevel="0" collapsed="false">
      <c r="A4" s="9" t="s">
        <v>252</v>
      </c>
      <c r="B4" s="9" t="s">
        <v>336</v>
      </c>
      <c r="C4" s="7" t="s">
        <v>337</v>
      </c>
      <c r="D4" s="7" t="s">
        <v>338</v>
      </c>
      <c r="E4" s="9" t="s">
        <v>339</v>
      </c>
      <c r="F4" s="7" t="s">
        <v>340</v>
      </c>
      <c r="G4" s="7" t="s">
        <v>341</v>
      </c>
      <c r="H4" s="9" t="s">
        <v>342</v>
      </c>
      <c r="I4" s="7" t="s">
        <v>343</v>
      </c>
      <c r="J4" s="7" t="s">
        <v>344</v>
      </c>
    </row>
    <row r="5" customFormat="false" ht="15" hidden="false" customHeight="false" outlineLevel="0" collapsed="false">
      <c r="A5" s="9" t="s">
        <v>345</v>
      </c>
      <c r="B5" s="9" t="s">
        <v>346</v>
      </c>
      <c r="C5" s="9" t="s">
        <v>347</v>
      </c>
      <c r="D5" s="7" t="s">
        <v>348</v>
      </c>
      <c r="E5" s="7" t="s">
        <v>349</v>
      </c>
      <c r="F5" s="9" t="s">
        <v>350</v>
      </c>
      <c r="G5" s="7" t="s">
        <v>351</v>
      </c>
      <c r="H5" s="9" t="s">
        <v>352</v>
      </c>
      <c r="I5" s="7" t="s">
        <v>353</v>
      </c>
      <c r="J5" s="9" t="s">
        <v>354</v>
      </c>
    </row>
    <row r="6" customFormat="false" ht="15" hidden="false" customHeight="false" outlineLevel="0" collapsed="false">
      <c r="A6" s="9" t="s">
        <v>355</v>
      </c>
      <c r="B6" s="9" t="s">
        <v>356</v>
      </c>
      <c r="C6" s="7" t="s">
        <v>357</v>
      </c>
      <c r="D6" s="7" t="s">
        <v>358</v>
      </c>
      <c r="E6" s="7" t="s">
        <v>359</v>
      </c>
      <c r="F6" s="7" t="s">
        <v>360</v>
      </c>
      <c r="G6" s="7" t="s">
        <v>361</v>
      </c>
      <c r="H6" s="9" t="s">
        <v>362</v>
      </c>
      <c r="I6" s="9" t="s">
        <v>363</v>
      </c>
      <c r="J6" s="7" t="s">
        <v>360</v>
      </c>
    </row>
    <row r="7" customFormat="false" ht="15" hidden="false" customHeight="false" outlineLevel="0" collapsed="false">
      <c r="A7" s="9" t="s">
        <v>364</v>
      </c>
      <c r="B7" s="9" t="s">
        <v>365</v>
      </c>
      <c r="C7" s="7" t="s">
        <v>366</v>
      </c>
      <c r="D7" s="7" t="s">
        <v>367</v>
      </c>
      <c r="E7" s="9" t="s">
        <v>301</v>
      </c>
      <c r="F7" s="9" t="s">
        <v>225</v>
      </c>
      <c r="G7" s="9" t="s">
        <v>301</v>
      </c>
      <c r="H7" s="9" t="s">
        <v>225</v>
      </c>
      <c r="I7" s="7" t="s">
        <v>368</v>
      </c>
      <c r="J7" s="7" t="s">
        <v>369</v>
      </c>
    </row>
    <row r="8" customFormat="false" ht="15" hidden="false" customHeight="false" outlineLevel="0" collapsed="false">
      <c r="A8" s="9" t="s">
        <v>370</v>
      </c>
      <c r="B8" s="9" t="s">
        <v>371</v>
      </c>
      <c r="C8" s="9" t="s">
        <v>372</v>
      </c>
      <c r="D8" s="7" t="s">
        <v>373</v>
      </c>
      <c r="E8" s="9" t="s">
        <v>374</v>
      </c>
      <c r="F8" s="9" t="s">
        <v>225</v>
      </c>
      <c r="G8" s="9" t="s">
        <v>225</v>
      </c>
      <c r="H8" s="9" t="s">
        <v>375</v>
      </c>
      <c r="I8" s="9" t="s">
        <v>225</v>
      </c>
      <c r="J8" s="7" t="s">
        <v>376</v>
      </c>
    </row>
    <row r="9" customFormat="false" ht="15" hidden="false" customHeight="false" outlineLevel="0" collapsed="false">
      <c r="A9" s="9" t="s">
        <v>377</v>
      </c>
      <c r="B9" s="7" t="s">
        <v>378</v>
      </c>
      <c r="C9" s="7" t="s">
        <v>379</v>
      </c>
      <c r="D9" s="7" t="s">
        <v>380</v>
      </c>
      <c r="E9" s="7" t="s">
        <v>381</v>
      </c>
      <c r="F9" s="9" t="s">
        <v>382</v>
      </c>
      <c r="G9" s="9" t="s">
        <v>225</v>
      </c>
      <c r="H9" s="7" t="s">
        <v>383</v>
      </c>
      <c r="I9" s="7" t="s">
        <v>384</v>
      </c>
      <c r="J9" s="7" t="s">
        <v>385</v>
      </c>
    </row>
    <row r="10" customFormat="false" ht="15" hidden="false" customHeight="false" outlineLevel="0" collapsed="false">
      <c r="A10" s="9" t="s">
        <v>386</v>
      </c>
      <c r="B10" s="7" t="s">
        <v>387</v>
      </c>
      <c r="C10" s="7" t="s">
        <v>388</v>
      </c>
      <c r="D10" s="7" t="s">
        <v>389</v>
      </c>
      <c r="E10" s="9" t="s">
        <v>390</v>
      </c>
      <c r="F10" s="7" t="s">
        <v>391</v>
      </c>
      <c r="G10" s="9" t="s">
        <v>225</v>
      </c>
      <c r="H10" s="7" t="s">
        <v>392</v>
      </c>
      <c r="I10" s="7" t="s">
        <v>393</v>
      </c>
      <c r="J10" s="7" t="s">
        <v>394</v>
      </c>
    </row>
    <row r="11" customFormat="false" ht="15" hidden="false" customHeight="false" outlineLevel="0" collapsed="false">
      <c r="A11" s="9" t="s">
        <v>395</v>
      </c>
      <c r="B11" s="9" t="s">
        <v>396</v>
      </c>
      <c r="C11" s="7" t="s">
        <v>397</v>
      </c>
      <c r="D11" s="7" t="s">
        <v>398</v>
      </c>
      <c r="E11" s="7" t="s">
        <v>399</v>
      </c>
      <c r="F11" s="7" t="s">
        <v>400</v>
      </c>
      <c r="G11" s="9" t="s">
        <v>225</v>
      </c>
      <c r="H11" s="9" t="s">
        <v>401</v>
      </c>
      <c r="I11" s="7" t="s">
        <v>402</v>
      </c>
      <c r="J11" s="9" t="s">
        <v>403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.99"/>
    <col collapsed="false" customWidth="true" hidden="false" outlineLevel="0" max="4" min="3" style="0" width="26"/>
    <col collapsed="false" customWidth="true" hidden="false" outlineLevel="0" max="5" min="5" style="0" width="30.01"/>
  </cols>
  <sheetData>
    <row r="1" customFormat="false" ht="24" hidden="false" customHeight="true" outlineLevel="0" collapsed="false">
      <c r="A1" s="1" t="s">
        <v>404</v>
      </c>
      <c r="B1" s="1"/>
      <c r="C1" s="1"/>
      <c r="D1" s="1"/>
      <c r="E1" s="1"/>
    </row>
    <row r="3" customFormat="false" ht="15" hidden="false" customHeight="false" outlineLevel="0" collapsed="false">
      <c r="A3" s="6" t="s">
        <v>405</v>
      </c>
      <c r="B3" s="6" t="s">
        <v>406</v>
      </c>
      <c r="C3" s="6" t="s">
        <v>407</v>
      </c>
      <c r="D3" s="6" t="s">
        <v>408</v>
      </c>
      <c r="E3" s="6" t="s">
        <v>409</v>
      </c>
    </row>
    <row r="4" customFormat="false" ht="15" hidden="false" customHeight="false" outlineLevel="0" collapsed="false">
      <c r="A4" s="7" t="s">
        <v>410</v>
      </c>
      <c r="B4" s="7" t="s">
        <v>411</v>
      </c>
      <c r="C4" s="7" t="s">
        <v>412</v>
      </c>
      <c r="D4" s="7" t="s">
        <v>413</v>
      </c>
      <c r="E4" s="9" t="s">
        <v>225</v>
      </c>
    </row>
    <row r="5" customFormat="false" ht="15" hidden="false" customHeight="false" outlineLevel="0" collapsed="false">
      <c r="A5" s="9" t="s">
        <v>414</v>
      </c>
      <c r="B5" s="7" t="s">
        <v>415</v>
      </c>
      <c r="C5" s="7" t="s">
        <v>416</v>
      </c>
      <c r="D5" s="7" t="s">
        <v>417</v>
      </c>
      <c r="E5" s="7" t="s">
        <v>418</v>
      </c>
    </row>
    <row r="6" customFormat="false" ht="15" hidden="false" customHeight="false" outlineLevel="0" collapsed="false">
      <c r="A6" s="9" t="s">
        <v>419</v>
      </c>
      <c r="B6" s="7" t="s">
        <v>420</v>
      </c>
      <c r="C6" s="7" t="s">
        <v>421</v>
      </c>
      <c r="D6" s="9" t="s">
        <v>422</v>
      </c>
      <c r="E6" s="7" t="s">
        <v>423</v>
      </c>
    </row>
    <row r="7" customFormat="false" ht="15" hidden="false" customHeight="false" outlineLevel="0" collapsed="false">
      <c r="A7" s="9" t="s">
        <v>424</v>
      </c>
      <c r="B7" s="7" t="s">
        <v>420</v>
      </c>
      <c r="C7" s="7" t="s">
        <v>425</v>
      </c>
      <c r="D7" s="9" t="s">
        <v>426</v>
      </c>
      <c r="E7" s="7" t="s">
        <v>427</v>
      </c>
    </row>
    <row r="8" customFormat="false" ht="15" hidden="false" customHeight="false" outlineLevel="0" collapsed="false">
      <c r="A8" s="9" t="s">
        <v>428</v>
      </c>
      <c r="B8" s="7" t="s">
        <v>429</v>
      </c>
      <c r="C8" s="7" t="s">
        <v>430</v>
      </c>
      <c r="D8" s="7" t="s">
        <v>431</v>
      </c>
      <c r="E8" s="7" t="s">
        <v>432</v>
      </c>
    </row>
    <row r="9" customFormat="false" ht="15" hidden="false" customHeight="false" outlineLevel="0" collapsed="false">
      <c r="A9" s="9" t="s">
        <v>433</v>
      </c>
      <c r="B9" s="7" t="s">
        <v>411</v>
      </c>
      <c r="C9" s="9" t="s">
        <v>434</v>
      </c>
      <c r="D9" s="7" t="s">
        <v>435</v>
      </c>
      <c r="E9" s="7" t="s">
        <v>436</v>
      </c>
    </row>
    <row r="10" customFormat="false" ht="15" hidden="false" customHeight="false" outlineLevel="0" collapsed="false">
      <c r="A10" s="9" t="s">
        <v>437</v>
      </c>
      <c r="B10" s="7" t="s">
        <v>411</v>
      </c>
      <c r="C10" s="9" t="s">
        <v>438</v>
      </c>
      <c r="D10" s="7" t="s">
        <v>439</v>
      </c>
      <c r="E10" s="9" t="s">
        <v>440</v>
      </c>
    </row>
    <row r="11" customFormat="false" ht="15" hidden="false" customHeight="false" outlineLevel="0" collapsed="false">
      <c r="A11" s="7" t="s">
        <v>441</v>
      </c>
      <c r="B11" s="7" t="s">
        <v>415</v>
      </c>
      <c r="C11" s="7" t="s">
        <v>442</v>
      </c>
      <c r="D11" s="7" t="s">
        <v>443</v>
      </c>
      <c r="E11" s="7" t="s">
        <v>444</v>
      </c>
    </row>
    <row r="12" customFormat="false" ht="15" hidden="false" customHeight="false" outlineLevel="0" collapsed="false">
      <c r="A12" s="9" t="s">
        <v>445</v>
      </c>
      <c r="B12" s="7" t="s">
        <v>415</v>
      </c>
      <c r="C12" s="7" t="s">
        <v>446</v>
      </c>
      <c r="D12" s="7" t="s">
        <v>447</v>
      </c>
      <c r="E12" s="7" t="s">
        <v>448</v>
      </c>
    </row>
    <row r="13" customFormat="false" ht="15" hidden="false" customHeight="false" outlineLevel="0" collapsed="false">
      <c r="A13" s="7" t="s">
        <v>449</v>
      </c>
      <c r="B13" s="7" t="s">
        <v>411</v>
      </c>
      <c r="C13" s="7" t="s">
        <v>450</v>
      </c>
      <c r="D13" s="9" t="s">
        <v>225</v>
      </c>
      <c r="E13" s="9" t="s">
        <v>225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4"/>
    <col collapsed="false" customWidth="true" hidden="false" outlineLevel="0" max="3" min="3" style="0" width="30.01"/>
    <col collapsed="false" customWidth="true" hidden="false" outlineLevel="0" max="4" min="4" style="0" width="16"/>
    <col collapsed="false" customWidth="true" hidden="false" outlineLevel="0" max="5" min="5" style="0" width="24"/>
  </cols>
  <sheetData>
    <row r="1" customFormat="false" ht="24" hidden="false" customHeight="true" outlineLevel="0" collapsed="false">
      <c r="A1" s="1" t="s">
        <v>451</v>
      </c>
      <c r="B1" s="1"/>
      <c r="C1" s="1"/>
      <c r="D1" s="1"/>
      <c r="E1" s="1"/>
    </row>
    <row r="3" customFormat="false" ht="15" hidden="false" customHeight="false" outlineLevel="0" collapsed="false">
      <c r="A3" s="16" t="s">
        <v>452</v>
      </c>
      <c r="B3" s="16" t="s">
        <v>453</v>
      </c>
      <c r="C3" s="16" t="s">
        <v>454</v>
      </c>
      <c r="D3" s="16" t="s">
        <v>455</v>
      </c>
      <c r="E3" s="16" t="s">
        <v>456</v>
      </c>
    </row>
    <row r="4" customFormat="false" ht="15" hidden="false" customHeight="false" outlineLevel="0" collapsed="false">
      <c r="A4" s="7" t="s">
        <v>201</v>
      </c>
      <c r="B4" s="7" t="s">
        <v>457</v>
      </c>
      <c r="C4" s="9" t="s">
        <v>458</v>
      </c>
      <c r="D4" s="9" t="n">
        <f aca="false">持仓勾稽!J20</f>
        <v>869820</v>
      </c>
      <c r="E4" s="7" t="s">
        <v>459</v>
      </c>
    </row>
    <row r="5" customFormat="false" ht="15" hidden="false" customHeight="false" outlineLevel="0" collapsed="false">
      <c r="A5" s="7" t="s">
        <v>460</v>
      </c>
      <c r="B5" s="7" t="s">
        <v>461</v>
      </c>
      <c r="C5" s="9" t="s">
        <v>462</v>
      </c>
      <c r="D5" s="9" t="n">
        <f aca="false">持仓勾稽!B24</f>
        <v>1032660</v>
      </c>
      <c r="E5" s="7" t="s">
        <v>463</v>
      </c>
    </row>
    <row r="6" customFormat="false" ht="15" hidden="false" customHeight="false" outlineLevel="0" collapsed="false">
      <c r="A6" s="7" t="s">
        <v>464</v>
      </c>
      <c r="B6" s="7" t="s">
        <v>465</v>
      </c>
      <c r="C6" s="9" t="s">
        <v>466</v>
      </c>
      <c r="D6" s="9" t="n">
        <f aca="false">持仓勾稽!B25</f>
        <v>3660</v>
      </c>
      <c r="E6" s="7" t="s">
        <v>467</v>
      </c>
    </row>
    <row r="7" customFormat="false" ht="15" hidden="false" customHeight="false" outlineLevel="0" collapsed="false">
      <c r="A7" s="7" t="s">
        <v>468</v>
      </c>
      <c r="B7" s="7" t="s">
        <v>469</v>
      </c>
      <c r="C7" s="9" t="s">
        <v>470</v>
      </c>
      <c r="D7" s="17" t="n">
        <f aca="false">交易明细!B27</f>
        <v>982399.392</v>
      </c>
      <c r="E7" s="7" t="s">
        <v>471</v>
      </c>
    </row>
    <row r="8" customFormat="false" ht="15" hidden="false" customHeight="false" outlineLevel="0" collapsed="false">
      <c r="A8" s="9" t="s">
        <v>472</v>
      </c>
      <c r="B8" s="7" t="s">
        <v>473</v>
      </c>
      <c r="C8" s="9" t="s">
        <v>474</v>
      </c>
      <c r="D8" s="17" t="n">
        <f aca="false">交易明细!B28</f>
        <v>0.192386112551666</v>
      </c>
      <c r="E8" s="7" t="s">
        <v>475</v>
      </c>
    </row>
    <row r="9" customFormat="false" ht="15" hidden="false" customHeight="false" outlineLevel="0" collapsed="false">
      <c r="A9" s="7" t="s">
        <v>476</v>
      </c>
      <c r="B9" s="7" t="s">
        <v>477</v>
      </c>
      <c r="C9" s="9" t="s">
        <v>478</v>
      </c>
      <c r="D9" s="17" t="n">
        <f aca="false">交易明细!B29</f>
        <v>0.399381354665985</v>
      </c>
      <c r="E9" s="7" t="s">
        <v>479</v>
      </c>
    </row>
    <row r="10" customFormat="false" ht="15" hidden="false" customHeight="false" outlineLevel="0" collapsed="false">
      <c r="A10" s="7" t="s">
        <v>480</v>
      </c>
      <c r="B10" s="7" t="s">
        <v>481</v>
      </c>
      <c r="C10" s="9" t="s">
        <v>482</v>
      </c>
      <c r="D10" s="17" t="n">
        <f aca="false">交易明细!B30</f>
        <v>0.370724985139242</v>
      </c>
      <c r="E10" s="7" t="s">
        <v>483</v>
      </c>
    </row>
    <row r="11" customFormat="false" ht="15" hidden="false" customHeight="false" outlineLevel="0" collapsed="false">
      <c r="A11" s="7" t="s">
        <v>484</v>
      </c>
      <c r="B11" s="7" t="s">
        <v>485</v>
      </c>
      <c r="C11" s="9" t="s">
        <v>486</v>
      </c>
      <c r="D11" s="17" t="n">
        <f aca="false">交易明细!B31</f>
        <v>0.0505822788619967</v>
      </c>
      <c r="E11" s="7" t="s">
        <v>487</v>
      </c>
    </row>
    <row r="12" customFormat="false" ht="15" hidden="false" customHeight="false" outlineLevel="0" collapsed="false">
      <c r="A12" s="9" t="s">
        <v>488</v>
      </c>
      <c r="B12" s="7" t="s">
        <v>489</v>
      </c>
      <c r="C12" s="9" t="s">
        <v>490</v>
      </c>
      <c r="D12" s="17" t="n">
        <f aca="false">交易明细!B32</f>
        <v>0.396831874260769</v>
      </c>
      <c r="E12" s="7" t="s">
        <v>491</v>
      </c>
    </row>
    <row r="13" customFormat="false" ht="15" hidden="false" customHeight="false" outlineLevel="0" collapsed="false">
      <c r="A13" s="7" t="s">
        <v>492</v>
      </c>
      <c r="B13" s="7" t="s">
        <v>493</v>
      </c>
      <c r="C13" s="9" t="s">
        <v>494</v>
      </c>
      <c r="D13" s="17" t="n">
        <f aca="false">交易明细!H8</f>
        <v>260.608</v>
      </c>
      <c r="E13" s="7" t="s">
        <v>495</v>
      </c>
    </row>
    <row r="14" customFormat="false" ht="15" hidden="false" customHeight="false" outlineLevel="0" collapsed="false">
      <c r="A14" s="7" t="s">
        <v>496</v>
      </c>
      <c r="B14" s="7" t="s">
        <v>497</v>
      </c>
      <c r="C14" s="9" t="s">
        <v>498</v>
      </c>
      <c r="D14" s="17" t="n">
        <f aca="false">交易明细!I8</f>
        <v>297347.392</v>
      </c>
      <c r="E14" s="7" t="s">
        <v>499</v>
      </c>
    </row>
    <row r="15" customFormat="false" ht="15" hidden="false" customHeight="false" outlineLevel="0" collapsed="false">
      <c r="A15" s="9" t="s">
        <v>500</v>
      </c>
      <c r="B15" s="7" t="s">
        <v>501</v>
      </c>
      <c r="C15" s="9" t="s">
        <v>502</v>
      </c>
      <c r="D15" s="9" t="n">
        <f aca="false">交易明细!H5/交易明细!D5</f>
        <v>0.0008</v>
      </c>
      <c r="E15" s="7" t="s">
        <v>503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9.99"/>
  </cols>
  <sheetData>
    <row r="1" customFormat="false" ht="24" hidden="false" customHeight="true" outlineLevel="0" collapsed="false">
      <c r="A1" s="1" t="s">
        <v>504</v>
      </c>
      <c r="B1" s="1"/>
    </row>
    <row r="3" customFormat="false" ht="15" hidden="false" customHeight="false" outlineLevel="0" collapsed="false">
      <c r="A3" s="16" t="s">
        <v>505</v>
      </c>
      <c r="B3" s="16" t="s">
        <v>506</v>
      </c>
    </row>
    <row r="4" customFormat="false" ht="15" hidden="false" customHeight="false" outlineLevel="0" collapsed="false">
      <c r="A4" s="18" t="s">
        <v>507</v>
      </c>
      <c r="B4" s="7" t="s">
        <v>508</v>
      </c>
    </row>
    <row r="5" customFormat="false" ht="15" hidden="false" customHeight="false" outlineLevel="0" collapsed="false">
      <c r="A5" s="18" t="s">
        <v>509</v>
      </c>
      <c r="B5" s="7" t="s">
        <v>510</v>
      </c>
    </row>
    <row r="6" customFormat="false" ht="15" hidden="false" customHeight="false" outlineLevel="0" collapsed="false">
      <c r="A6" s="18" t="s">
        <v>511</v>
      </c>
      <c r="B6" s="7" t="s">
        <v>512</v>
      </c>
    </row>
    <row r="7" customFormat="false" ht="15" hidden="false" customHeight="false" outlineLevel="0" collapsed="false">
      <c r="A7" s="18" t="s">
        <v>513</v>
      </c>
      <c r="B7" s="7" t="s">
        <v>514</v>
      </c>
    </row>
    <row r="8" customFormat="false" ht="15" hidden="false" customHeight="false" outlineLevel="0" collapsed="false">
      <c r="A8" s="18" t="s">
        <v>515</v>
      </c>
      <c r="B8" s="7" t="s">
        <v>516</v>
      </c>
    </row>
    <row r="9" customFormat="false" ht="15" hidden="false" customHeight="false" outlineLevel="0" collapsed="false">
      <c r="A9" s="18" t="s">
        <v>517</v>
      </c>
      <c r="B9" s="7" t="s">
        <v>518</v>
      </c>
    </row>
    <row r="10" customFormat="false" ht="15" hidden="false" customHeight="false" outlineLevel="0" collapsed="false">
      <c r="A10" s="18" t="s">
        <v>519</v>
      </c>
      <c r="B10" s="7" t="s">
        <v>520</v>
      </c>
    </row>
    <row r="11" customFormat="false" ht="15" hidden="false" customHeight="false" outlineLevel="0" collapsed="false">
      <c r="A11" s="18" t="s">
        <v>521</v>
      </c>
      <c r="B11" s="7" t="s">
        <v>522</v>
      </c>
    </row>
    <row r="12" customFormat="false" ht="15" hidden="false" customHeight="false" outlineLevel="0" collapsed="false">
      <c r="A12" s="18" t="s">
        <v>523</v>
      </c>
      <c r="B12" s="9" t="s">
        <v>524</v>
      </c>
    </row>
    <row r="13" customFormat="false" ht="15" hidden="false" customHeight="false" outlineLevel="0" collapsed="false">
      <c r="A13" s="18" t="s">
        <v>525</v>
      </c>
      <c r="B13" s="9" t="s">
        <v>526</v>
      </c>
    </row>
    <row r="14" customFormat="false" ht="15" hidden="false" customHeight="false" outlineLevel="0" collapsed="false">
      <c r="A14" s="18" t="s">
        <v>527</v>
      </c>
      <c r="B14" s="7" t="s">
        <v>528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2026-09-20T04:38:52Z</dcterms:created>
  <dc:creator>openpyxl</dc:creator>
  <dc:description/>
  <dc:language>en-US</dc:language>
  <cp:lastModifiedBy/>
  <dcterms:modified xsi:type="dcterms:W3CDTF">2026-09-20T04:38:54Z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