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快照" sheetId="1" state="visible" r:id="rId1"/>
    <sheet xmlns:r="http://schemas.openxmlformats.org/officeDocument/2006/relationships" name="持仓勾稽" sheetId="2" state="visible" r:id="rId2"/>
    <sheet xmlns:r="http://schemas.openxmlformats.org/officeDocument/2006/relationships" name="交易日历" sheetId="3" state="visible" r:id="rId3"/>
    <sheet xmlns:r="http://schemas.openxmlformats.org/officeDocument/2006/relationships" name="硬约束状态" sheetId="4" state="visible" r:id="rId4"/>
    <sheet xmlns:r="http://schemas.openxmlformats.org/officeDocument/2006/relationships" name="压力情景" sheetId="5" state="visible" r:id="rId5"/>
    <sheet xmlns:r="http://schemas.openxmlformats.org/officeDocument/2006/relationships" name="方案对比" sheetId="6" state="visible" r:id="rId6"/>
    <sheet xmlns:r="http://schemas.openxmlformats.org/officeDocument/2006/relationships" name="交易明细" sheetId="7" state="visible" r:id="rId7"/>
    <sheet xmlns:r="http://schemas.openxmlformats.org/officeDocument/2006/relationships" name="条件规则" sheetId="8" state="visible" r:id="rId8"/>
    <sheet xmlns:r="http://schemas.openxmlformats.org/officeDocument/2006/relationships" name="核验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22" customWidth="1" min="4" max="4"/>
  </cols>
  <sheetData>
    <row r="1">
      <c r="A1" s="1" t="inlineStr">
        <is>
          <t>输入快照（as-of 2026-09-10 14:20，基准币种人民币）</t>
        </is>
      </c>
    </row>
    <row r="3">
      <c r="A3" s="2" t="inlineStr">
        <is>
          <t>项目</t>
        </is>
      </c>
      <c r="B3" s="2" t="inlineStr">
        <is>
          <t>值</t>
        </is>
      </c>
      <c r="C3" s="2" t="inlineStr">
        <is>
          <t>单位/说明</t>
        </is>
      </c>
      <c r="D3" s="2" t="inlineStr">
        <is>
          <t>来源材料</t>
        </is>
      </c>
    </row>
    <row r="4">
      <c r="A4" s="3" t="inlineStr">
        <is>
          <t>人民币可用现金</t>
        </is>
      </c>
      <c r="B4" s="3" t="n">
        <v>220000</v>
      </c>
      <c r="C4" s="3" t="inlineStr">
        <is>
          <t>元</t>
        </is>
      </c>
      <c r="D4" s="3" t="inlineStr">
        <is>
          <t>K01 券商导出</t>
        </is>
      </c>
    </row>
    <row r="5">
      <c r="A5" s="3" t="inlineStr">
        <is>
          <t>港币可用现金</t>
        </is>
      </c>
      <c r="B5" s="3" t="n">
        <v>60000</v>
      </c>
      <c r="C5" s="3" t="inlineStr">
        <is>
          <t>港币</t>
        </is>
      </c>
      <c r="D5" s="3" t="inlineStr">
        <is>
          <t>K02</t>
        </is>
      </c>
    </row>
    <row r="6">
      <c r="A6" s="3" t="inlineStr">
        <is>
          <t>即期汇率</t>
        </is>
      </c>
      <c r="B6" s="3" t="n">
        <v>0.92</v>
      </c>
      <c r="C6" s="3" t="inlineStr">
        <is>
          <t>人民币/港币</t>
        </is>
      </c>
      <c r="D6" s="3" t="inlineStr">
        <is>
          <t>K02</t>
        </is>
      </c>
    </row>
    <row r="7">
      <c r="A7" s="3" t="inlineStr">
        <is>
          <t>冻结申购款</t>
        </is>
      </c>
      <c r="B7" s="3" t="n">
        <v>16000</v>
      </c>
      <c r="C7" s="3" t="inlineStr">
        <is>
          <t>元（9/12解冻）</t>
        </is>
      </c>
      <c r="D7" s="3" t="inlineStr">
        <is>
          <t>K03</t>
        </is>
      </c>
    </row>
    <row r="8">
      <c r="A8" s="3" t="inlineStr">
        <is>
          <t>券商显示总资产</t>
        </is>
      </c>
      <c r="B8" s="3" t="n">
        <v>1009200</v>
      </c>
      <c r="C8" s="3" t="inlineStr">
        <is>
          <t>元</t>
        </is>
      </c>
      <c r="D8" s="3" t="inlineStr">
        <is>
          <t>K04</t>
        </is>
      </c>
    </row>
    <row r="9">
      <c r="A9" s="3" t="inlineStr">
        <is>
          <t>A 铜资源股 现价</t>
        </is>
      </c>
      <c r="B9" s="3" t="n">
        <v>49.5</v>
      </c>
      <c r="C9" s="3" t="inlineStr">
        <is>
          <t>元/股</t>
        </is>
      </c>
      <c r="D9" s="3" t="inlineStr">
        <is>
          <t>H01/M01</t>
        </is>
      </c>
    </row>
    <row r="10">
      <c r="A10" s="3" t="inlineStr">
        <is>
          <t>A 总持股</t>
        </is>
      </c>
      <c r="B10" s="3" t="n">
        <v>8000</v>
      </c>
      <c r="C10" s="3" t="inlineStr">
        <is>
          <t>股（含当日买2000）</t>
        </is>
      </c>
      <c r="D10" s="3" t="inlineStr">
        <is>
          <t>H01</t>
        </is>
      </c>
    </row>
    <row r="11">
      <c r="A11" s="3" t="inlineStr">
        <is>
          <t>A 当日可卖</t>
        </is>
      </c>
      <c r="B11" s="3" t="n">
        <v>6000</v>
      </c>
      <c r="C11" s="3" t="inlineStr">
        <is>
          <t>股（T+1锁2000）</t>
        </is>
      </c>
      <c r="D11" s="3" t="inlineStr">
        <is>
          <t>H01/T01</t>
        </is>
      </c>
    </row>
    <row r="12">
      <c r="A12" s="3" t="inlineStr">
        <is>
          <t>B 光模块股 现价</t>
        </is>
      </c>
      <c r="B12" s="3" t="n">
        <v>120</v>
      </c>
      <c r="C12" s="3" t="inlineStr">
        <is>
          <t>元/股（9/9收盘，9/10停牌）</t>
        </is>
      </c>
      <c r="D12" s="3" t="inlineStr">
        <is>
          <t>H02/M02</t>
        </is>
      </c>
    </row>
    <row r="13">
      <c r="A13" s="3" t="inlineStr">
        <is>
          <t>B 总持股</t>
        </is>
      </c>
      <c r="B13" s="3" t="n">
        <v>1800</v>
      </c>
      <c r="C13" s="3" t="inlineStr">
        <is>
          <t>股（10转5后）</t>
        </is>
      </c>
      <c r="D13" s="3" t="inlineStr">
        <is>
          <t>H02/CA01</t>
        </is>
      </c>
    </row>
    <row r="14">
      <c r="A14" s="3" t="inlineStr">
        <is>
          <t>B 当日可卖</t>
        </is>
      </c>
      <c r="B14" s="3" t="n">
        <v>0</v>
      </c>
      <c r="C14" s="3" t="inlineStr">
        <is>
          <t>股（停牌不可成交）</t>
        </is>
      </c>
      <c r="D14" s="3" t="inlineStr">
        <is>
          <t>T02</t>
        </is>
      </c>
    </row>
    <row r="15">
      <c r="A15" s="3" t="inlineStr">
        <is>
          <t>C 新能源股 现价</t>
        </is>
      </c>
      <c r="B15" s="3" t="n">
        <v>60</v>
      </c>
      <c r="C15" s="3" t="inlineStr">
        <is>
          <t>元/股（当日跌停）</t>
        </is>
      </c>
      <c r="D15" s="3" t="inlineStr">
        <is>
          <t>H03/M03</t>
        </is>
      </c>
    </row>
    <row r="16">
      <c r="A16" s="3" t="inlineStr">
        <is>
          <t>C 总持股</t>
        </is>
      </c>
      <c r="B16" s="3" t="n">
        <v>1000</v>
      </c>
      <c r="C16" s="3" t="inlineStr">
        <is>
          <t>股</t>
        </is>
      </c>
      <c r="D16" s="3" t="inlineStr">
        <is>
          <t>H03</t>
        </is>
      </c>
    </row>
    <row r="17">
      <c r="A17" s="3" t="inlineStr">
        <is>
          <t>C 当日可卖</t>
        </is>
      </c>
      <c r="B17" s="3" t="n">
        <v>1000</v>
      </c>
      <c r="C17" s="3" t="inlineStr">
        <is>
          <t>股（跌停买盘不足或不成交）</t>
        </is>
      </c>
      <c r="D17" s="3" t="inlineStr">
        <is>
          <t>T03</t>
        </is>
      </c>
    </row>
    <row r="18">
      <c r="A18" s="3" t="inlineStr">
        <is>
          <t>D 恒生科技ETF 现价</t>
        </is>
      </c>
      <c r="B18" s="3" t="n">
        <v>10</v>
      </c>
      <c r="C18" s="3" t="inlineStr">
        <is>
          <t>港币/份</t>
        </is>
      </c>
      <c r="D18" s="3" t="inlineStr">
        <is>
          <t>H04/M04</t>
        </is>
      </c>
    </row>
    <row r="19">
      <c r="A19" s="3" t="inlineStr">
        <is>
          <t>D 总份额</t>
        </is>
      </c>
      <c r="B19" s="3" t="n">
        <v>5000</v>
      </c>
      <c r="C19" s="3" t="inlineStr">
        <is>
          <t>份</t>
        </is>
      </c>
      <c r="D19" s="3" t="inlineStr">
        <is>
          <t>H04</t>
        </is>
      </c>
    </row>
    <row r="20">
      <c r="A20" s="3" t="inlineStr">
        <is>
          <t>卖出综合费率(假设)</t>
        </is>
      </c>
      <c r="B20" s="3" t="n">
        <v>0.001</v>
      </c>
      <c r="C20" s="3" t="inlineStr">
        <is>
          <t>成交额%（佣金+过户+印花+滑点，D03缺个性化税率）</t>
        </is>
      </c>
      <c r="D20" s="3" t="inlineStr">
        <is>
          <t>本方案假设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46" customWidth="1" min="9" max="9"/>
  </cols>
  <sheetData>
    <row r="1">
      <c r="A1" s="1" t="inlineStr">
        <is>
          <t>持仓勾稽：数量、重建成本、人民币市值、未实现盈亏</t>
        </is>
      </c>
    </row>
    <row r="3">
      <c r="A3" s="2" t="inlineStr">
        <is>
          <t>标的</t>
        </is>
      </c>
      <c r="B3" s="2" t="inlineStr">
        <is>
          <t>总数量</t>
        </is>
      </c>
      <c r="C3" s="2" t="inlineStr">
        <is>
          <t>可卖数量</t>
        </is>
      </c>
      <c r="D3" s="2" t="inlineStr">
        <is>
          <t>重建成本(元)</t>
        </is>
      </c>
      <c r="E3" s="2" t="inlineStr">
        <is>
          <t>调整后单位成本</t>
        </is>
      </c>
      <c r="F3" s="2" t="inlineStr">
        <is>
          <t>人民币市值</t>
        </is>
      </c>
      <c r="G3" s="2" t="inlineStr">
        <is>
          <t>未实现盈亏</t>
        </is>
      </c>
      <c r="H3" s="2" t="inlineStr">
        <is>
          <t>盈亏率</t>
        </is>
      </c>
      <c r="I3" s="2" t="inlineStr">
        <is>
          <t>采用记录/冲突说明</t>
        </is>
      </c>
    </row>
    <row r="4">
      <c r="A4" s="3" t="inlineStr">
        <is>
          <t>铜资源股A</t>
        </is>
      </c>
      <c r="B4" s="3">
        <f>'输入快照'!B10</f>
        <v/>
      </c>
      <c r="C4" s="3">
        <f>'输入快照'!B11</f>
        <v/>
      </c>
      <c r="D4" s="4" t="n">
        <v>384429</v>
      </c>
      <c r="E4" s="4">
        <f>D4/B4</f>
        <v/>
      </c>
      <c r="F4" s="4">
        <f>B4*'输入快照'!B9</f>
        <v/>
      </c>
      <c r="G4" s="4">
        <f>F4-D4</f>
        <v/>
      </c>
      <c r="H4" s="5">
        <f>G4/D4</f>
        <v/>
      </c>
      <c r="I4" s="3" t="inlineStr">
        <is>
          <t>采用L01+L02+L03成交确认单重建；客户口述49.25(D02)与OCR均不采用</t>
        </is>
      </c>
    </row>
    <row r="5">
      <c r="A5" s="3" t="inlineStr">
        <is>
          <t>光模块股B</t>
        </is>
      </c>
      <c r="B5" s="3">
        <f>'输入快照'!B13</f>
        <v/>
      </c>
      <c r="C5" s="3" t="n">
        <v>0</v>
      </c>
      <c r="D5" s="4" t="n">
        <v>180360</v>
      </c>
      <c r="E5" s="4">
        <f>D5/B5</f>
        <v/>
      </c>
      <c r="F5" s="4">
        <f>B5*'输入快照'!B12</f>
        <v/>
      </c>
      <c r="G5" s="4">
        <f>F5-D5</f>
        <v/>
      </c>
      <c r="H5" s="5">
        <f>G5/D5</f>
        <v/>
      </c>
      <c r="I5" s="3" t="inlineStr">
        <is>
          <t>L04成本经CA01 10转5除权，总成本不变；D01 OCR 1200股@150.15为转增前截图，不采用</t>
        </is>
      </c>
    </row>
    <row r="6">
      <c r="A6" s="3" t="inlineStr">
        <is>
          <t>新能源股C</t>
        </is>
      </c>
      <c r="B6" s="3">
        <f>'输入快照'!B16</f>
        <v/>
      </c>
      <c r="C6" s="3">
        <f>'输入快照'!B17</f>
        <v/>
      </c>
      <c r="D6" s="4" t="n">
        <v>68102</v>
      </c>
      <c r="E6" s="4">
        <f>D6/B6</f>
        <v/>
      </c>
      <c r="F6" s="4">
        <f>B6*'输入快照'!B15</f>
        <v/>
      </c>
      <c r="G6" s="4">
        <f>F6-D6</f>
        <v/>
      </c>
      <c r="H6" s="5">
        <f>G6/D6</f>
        <v/>
      </c>
      <c r="I6" s="3" t="inlineStr">
        <is>
          <t>L05成交确认单重建</t>
        </is>
      </c>
    </row>
    <row r="7">
      <c r="A7" s="3" t="inlineStr">
        <is>
          <t>恒生科技ETF D</t>
        </is>
      </c>
      <c r="B7" s="3">
        <f>'输入快照'!B19</f>
        <v/>
      </c>
      <c r="C7" s="3">
        <f>'输入快照'!B19</f>
        <v/>
      </c>
      <c r="D7" s="4" t="n">
        <v>52852.8</v>
      </c>
      <c r="E7" s="4">
        <f>D7/B7</f>
        <v/>
      </c>
      <c r="F7" s="4">
        <f>B7*'输入快照'!B18*'输入快照'!B6</f>
        <v/>
      </c>
      <c r="G7" s="4">
        <f>F7-D7</f>
        <v/>
      </c>
      <c r="H7" s="5">
        <f>G7/D7</f>
        <v/>
      </c>
      <c r="I7" s="3" t="inlineStr">
        <is>
          <t>L06/L07按成交日汇率0.94/0.93折人民币成本</t>
        </is>
      </c>
    </row>
    <row r="8">
      <c r="A8" s="6" t="inlineStr">
        <is>
          <t>证券市值合计</t>
        </is>
      </c>
      <c r="B8" s="3" t="n"/>
      <c r="C8" s="3" t="n"/>
      <c r="D8" s="3" t="n"/>
      <c r="E8" s="3" t="n"/>
      <c r="F8" s="7">
        <f>SUM(F4:F7)</f>
        <v/>
      </c>
      <c r="G8" s="3" t="n"/>
      <c r="H8" s="5" t="n"/>
      <c r="I8" s="3" t="n"/>
    </row>
    <row r="9">
      <c r="A9" s="3" t="inlineStr">
        <is>
          <t>人民币现金</t>
        </is>
      </c>
      <c r="B9" s="3" t="n"/>
      <c r="C9" s="3" t="n"/>
      <c r="D9" s="3" t="n"/>
      <c r="E9" s="3" t="n"/>
      <c r="F9" s="4">
        <f>'输入快照'!B4</f>
        <v/>
      </c>
      <c r="G9" s="3" t="n"/>
      <c r="H9" s="5" t="n"/>
      <c r="I9" s="3" t="n"/>
    </row>
    <row r="10">
      <c r="A10" s="3" t="inlineStr">
        <is>
          <t>港币现金折人民币</t>
        </is>
      </c>
      <c r="B10" s="3" t="n"/>
      <c r="C10" s="3" t="n"/>
      <c r="D10" s="3" t="n"/>
      <c r="E10" s="3" t="n"/>
      <c r="F10" s="4">
        <f>'输入快照'!B5*'输入快照'!B6</f>
        <v/>
      </c>
      <c r="G10" s="3" t="n"/>
      <c r="H10" s="5" t="n"/>
      <c r="I10" s="3" t="n"/>
    </row>
    <row r="11">
      <c r="A11" s="3" t="inlineStr">
        <is>
          <t>冻结申购款</t>
        </is>
      </c>
      <c r="B11" s="3" t="n"/>
      <c r="C11" s="3" t="n"/>
      <c r="D11" s="3" t="n"/>
      <c r="E11" s="3" t="n"/>
      <c r="F11" s="4">
        <f>'输入快照'!B7</f>
        <v/>
      </c>
      <c r="G11" s="3" t="n"/>
      <c r="H11" s="5" t="n"/>
      <c r="I11" s="3" t="n"/>
    </row>
    <row r="12">
      <c r="A12" s="6" t="inlineStr">
        <is>
          <t>勾稽总资产</t>
        </is>
      </c>
      <c r="B12" s="3" t="n"/>
      <c r="C12" s="3" t="n"/>
      <c r="D12" s="3" t="n"/>
      <c r="E12" s="3" t="n"/>
      <c r="F12" s="7">
        <f>F8+F9+F10+F11</f>
        <v/>
      </c>
      <c r="G12" s="3" t="n"/>
      <c r="H12" s="5" t="n"/>
      <c r="I12" s="3" t="n"/>
    </row>
    <row r="13">
      <c r="A13" s="3" t="inlineStr">
        <is>
          <t>券商显示总资产(K04)</t>
        </is>
      </c>
      <c r="B13" s="3" t="n"/>
      <c r="C13" s="3" t="n"/>
      <c r="D13" s="3" t="n"/>
      <c r="E13" s="3" t="n"/>
      <c r="F13" s="4">
        <f>'输入快照'!B8</f>
        <v/>
      </c>
      <c r="G13" s="3" t="n"/>
      <c r="H13" s="5" t="n"/>
      <c r="I13" s="3" t="n"/>
    </row>
    <row r="14">
      <c r="A14" s="6" t="inlineStr">
        <is>
          <t>勾稽残差</t>
        </is>
      </c>
      <c r="B14" s="3" t="n"/>
      <c r="C14" s="3" t="n"/>
      <c r="D14" s="3" t="n"/>
      <c r="E14" s="3" t="n"/>
      <c r="F14" s="7">
        <f>F12-'输入快照'!B8</f>
        <v/>
      </c>
      <c r="G14" s="3" t="n"/>
      <c r="H14" s="5" t="n"/>
      <c r="I14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  <col width="26" customWidth="1" min="4" max="4"/>
    <col width="26" customWidth="1" min="5" max="5"/>
    <col width="40" customWidth="1" min="6" max="6"/>
  </cols>
  <sheetData>
    <row r="1">
      <c r="A1" s="1" t="inlineStr">
        <is>
          <t>交易日历（从as-of到计划覆盖的3个交易日）</t>
        </is>
      </c>
    </row>
    <row r="3">
      <c r="A3" s="2" t="inlineStr">
        <is>
          <t>日历日</t>
        </is>
      </c>
      <c r="B3" s="2" t="inlineStr">
        <is>
          <t>星期</t>
        </is>
      </c>
      <c r="C3" s="2" t="inlineStr">
        <is>
          <t>是否交易日</t>
        </is>
      </c>
      <c r="D3" s="2" t="inlineStr">
        <is>
          <t>可执行时段说明</t>
        </is>
      </c>
      <c r="E3" s="2" t="inlineStr">
        <is>
          <t>资金可用/可划转</t>
        </is>
      </c>
      <c r="F3" s="2" t="inlineStr">
        <is>
          <t>备注</t>
        </is>
      </c>
    </row>
    <row r="4">
      <c r="A4" s="3" t="inlineStr">
        <is>
          <t>2026-09-10</t>
        </is>
      </c>
      <c r="B4" s="3" t="inlineStr">
        <is>
          <t>周四</t>
        </is>
      </c>
      <c r="C4" s="3" t="inlineStr">
        <is>
          <t>是</t>
        </is>
      </c>
      <c r="D4" s="3" t="inlineStr">
        <is>
          <t>14:20在交易时段内，至15:00收盘</t>
        </is>
      </c>
      <c r="E4" s="3" t="inlineStr">
        <is>
          <t>人民币现金可用；港币需换汇</t>
        </is>
      </c>
      <c r="F4" s="3" t="inlineStr">
        <is>
          <t>审阅时点；A当日买2000股T+1锁定；B停牌；C跌停</t>
        </is>
      </c>
    </row>
    <row r="5">
      <c r="A5" s="3" t="inlineStr">
        <is>
          <t>2026-09-11</t>
        </is>
      </c>
      <c r="B5" s="3" t="inlineStr">
        <is>
          <t>周五</t>
        </is>
      </c>
      <c r="C5" s="3" t="inlineStr">
        <is>
          <t>是</t>
        </is>
      </c>
      <c r="D5" s="3" t="inlineStr">
        <is>
          <t>全日交易时段</t>
        </is>
      </c>
      <c r="E5" s="3" t="inlineStr">
        <is>
          <t>A的2000股T+1解冻可卖</t>
        </is>
      </c>
      <c r="F5" s="3" t="inlineStr">
        <is>
          <t>B预计仍停牌（重大重组，≤5个交易日）；C观察是否打开跌停</t>
        </is>
      </c>
    </row>
    <row r="6">
      <c r="A6" s="3" t="inlineStr">
        <is>
          <t>2026-09-12</t>
        </is>
      </c>
      <c r="B6" s="3" t="inlineStr">
        <is>
          <t>周六</t>
        </is>
      </c>
      <c r="C6" s="3" t="inlineStr">
        <is>
          <t>否</t>
        </is>
      </c>
      <c r="D6" s="3" t="inlineStr">
        <is>
          <t>非交易日</t>
        </is>
      </c>
      <c r="E6" s="3" t="inlineStr">
        <is>
          <t>冻结申购款名义解冻日，但非交易日不可执行</t>
        </is>
      </c>
      <c r="F6" s="3" t="inlineStr">
        <is>
          <t>顺延</t>
        </is>
      </c>
    </row>
    <row r="7">
      <c r="A7" s="3" t="inlineStr">
        <is>
          <t>2026-09-13</t>
        </is>
      </c>
      <c r="B7" s="3" t="inlineStr">
        <is>
          <t>周日</t>
        </is>
      </c>
      <c r="C7" s="3" t="inlineStr">
        <is>
          <t>否</t>
        </is>
      </c>
      <c r="D7" s="3" t="inlineStr">
        <is>
          <t>非交易日</t>
        </is>
      </c>
      <c r="E7" s="3" t="inlineStr">
        <is>
          <t>顺延</t>
        </is>
      </c>
      <c r="F7" s="3" t="inlineStr">
        <is>
          <t>顺延</t>
        </is>
      </c>
    </row>
    <row r="8">
      <c r="A8" s="3" t="inlineStr">
        <is>
          <t>2026-09-14</t>
        </is>
      </c>
      <c r="B8" s="3" t="inlineStr">
        <is>
          <t>周一</t>
        </is>
      </c>
      <c r="C8" s="3" t="inlineStr">
        <is>
          <t>是</t>
        </is>
      </c>
      <c r="D8" s="3" t="inlineStr">
        <is>
          <t>全日交易时段</t>
        </is>
      </c>
      <c r="E8" s="3" t="inlineStr">
        <is>
          <t>冻结16000元转为可用；全部持仓可卖（除B复牌前）</t>
        </is>
      </c>
      <c r="F8" s="3" t="inlineStr">
        <is>
          <t>B停牌可能仍在（预计最晚9/17复牌）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0" customWidth="1" min="4" max="4"/>
    <col width="14" customWidth="1" min="5" max="5"/>
    <col width="18" customWidth="1" min="6" max="6"/>
    <col width="12" customWidth="1" min="7" max="7"/>
    <col width="18" customWidth="1" min="8" max="8"/>
    <col width="20" customWidth="1" min="9" max="9"/>
    <col width="8" customWidth="1" min="10" max="10"/>
  </cols>
  <sheetData>
    <row r="1">
      <c r="A1" s="1" t="inlineStr">
        <is>
          <t>硬约束状态表（阈值/当前值/反解达标整手/主方案后值/判定）</t>
        </is>
      </c>
    </row>
    <row r="3">
      <c r="A3" s="2" t="inlineStr">
        <is>
          <t>约束名</t>
        </is>
      </c>
      <c r="B3" s="2" t="inlineStr">
        <is>
          <t>题面阈值</t>
        </is>
      </c>
      <c r="C3" s="2" t="inlineStr">
        <is>
          <t>当前值</t>
        </is>
      </c>
      <c r="D3" s="2" t="inlineStr">
        <is>
          <t>达标所需反解值(可执行整手)</t>
        </is>
      </c>
      <c r="E3" s="2" t="inlineStr">
        <is>
          <t>主方案交易后值</t>
        </is>
      </c>
      <c r="F3" s="2" t="inlineStr">
        <is>
          <t>用户偏好方案值</t>
        </is>
      </c>
      <c r="G3" s="2" t="inlineStr">
        <is>
          <t>判定</t>
        </is>
      </c>
      <c r="H3" s="2" t="inlineStr">
        <is>
          <t>绑定/已被消除</t>
        </is>
      </c>
      <c r="I3" s="2" t="inlineStr">
        <is>
          <t>少一手检验</t>
        </is>
      </c>
      <c r="J3" s="2" t="inlineStr">
        <is>
          <t>规则号</t>
        </is>
      </c>
    </row>
    <row r="4">
      <c r="A4" s="3" t="inlineStr">
        <is>
          <t>风险资产仓位</t>
        </is>
      </c>
      <c r="B4" s="3" t="inlineStr">
        <is>
          <t>≤70%</t>
        </is>
      </c>
      <c r="C4" s="3" t="inlineStr">
        <is>
          <t>71.15%</t>
        </is>
      </c>
      <c r="D4" s="3" t="inlineStr">
        <is>
          <t>卖A≥300股</t>
        </is>
      </c>
      <c r="E4" s="3" t="inlineStr">
        <is>
          <t>45.16%</t>
        </is>
      </c>
      <c r="F4" s="3" t="inlineStr">
        <is>
          <t>71.15%(不动)</t>
        </is>
      </c>
      <c r="G4" s="8" t="inlineStr">
        <is>
          <t>超限→达标</t>
        </is>
      </c>
      <c r="H4" s="3" t="inlineStr">
        <is>
          <t>被主方案消除</t>
        </is>
      </c>
      <c r="I4" s="3" t="inlineStr">
        <is>
          <t>卖200股仍71.2%超限</t>
        </is>
      </c>
      <c r="J4" s="3" t="inlineStr">
        <is>
          <t>R1</t>
        </is>
      </c>
    </row>
    <row r="5">
      <c r="A5" s="3" t="inlineStr">
        <is>
          <t>单一标的A</t>
        </is>
      </c>
      <c r="B5" s="3" t="inlineStr">
        <is>
          <t>≤22%</t>
        </is>
      </c>
      <c r="C5" s="3" t="inlineStr">
        <is>
          <t>39.24%</t>
        </is>
      </c>
      <c r="D5" s="3" t="inlineStr">
        <is>
          <t>卖A≥3600股</t>
        </is>
      </c>
      <c r="E5" s="3" t="inlineStr">
        <is>
          <t>13.25%</t>
        </is>
      </c>
      <c r="F5" s="3" t="inlineStr">
        <is>
          <t>39.24%(偏好保留A)</t>
        </is>
      </c>
      <c r="G5" s="8" t="inlineStr">
        <is>
          <t>超限→达标</t>
        </is>
      </c>
      <c r="H5" s="3" t="inlineStr">
        <is>
          <t>绑定(但被更紧的R1覆盖)</t>
        </is>
      </c>
      <c r="I5" s="3" t="inlineStr">
        <is>
          <t>卖3500股=22.08%仍超限</t>
        </is>
      </c>
      <c r="J5" s="3" t="inlineStr">
        <is>
          <t>R1</t>
        </is>
      </c>
    </row>
    <row r="6">
      <c r="A6" s="3" t="inlineStr">
        <is>
          <t>主题(铜资源=A)</t>
        </is>
      </c>
      <c r="B6" s="3" t="inlineStr">
        <is>
          <t>≤35%</t>
        </is>
      </c>
      <c r="C6" s="3" t="inlineStr">
        <is>
          <t>39.24%</t>
        </is>
      </c>
      <c r="D6" s="3" t="inlineStr">
        <is>
          <t>卖A≥900股</t>
        </is>
      </c>
      <c r="E6" s="3" t="inlineStr">
        <is>
          <t>13.25%</t>
        </is>
      </c>
      <c r="F6" s="3" t="inlineStr">
        <is>
          <t>39.24%</t>
        </is>
      </c>
      <c r="G6" s="8" t="inlineStr">
        <is>
          <t>超限→达标</t>
        </is>
      </c>
      <c r="H6" s="3" t="inlineStr">
        <is>
          <t>被主方案消除</t>
        </is>
      </c>
      <c r="I6" s="3" t="inlineStr">
        <is>
          <t>卖800股=39.6%仍超限</t>
        </is>
      </c>
      <c r="J6" s="3" t="inlineStr">
        <is>
          <t>R1</t>
        </is>
      </c>
    </row>
    <row r="7">
      <c r="A7" s="3" t="inlineStr">
        <is>
          <t>未对冲外币敞口</t>
        </is>
      </c>
      <c r="B7" s="3" t="inlineStr">
        <is>
          <t>≤25%</t>
        </is>
      </c>
      <c r="C7" s="3" t="inlineStr">
        <is>
          <t>10.03%</t>
        </is>
      </c>
      <c r="D7" s="3" t="inlineStr">
        <is>
          <t>无需卖出</t>
        </is>
      </c>
      <c r="E7" s="3" t="inlineStr">
        <is>
          <t>10.03%</t>
        </is>
      </c>
      <c r="F7" s="3" t="inlineStr">
        <is>
          <t>10.03%</t>
        </is>
      </c>
      <c r="G7" s="9" t="inlineStr">
        <is>
          <t>达标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</row>
    <row r="8">
      <c r="A8" s="3" t="inlineStr">
        <is>
          <t>可自由使用现金</t>
        </is>
      </c>
      <c r="B8" s="3" t="inlineStr">
        <is>
          <t>≥25%</t>
        </is>
      </c>
      <c r="C8" s="3" t="inlineStr">
        <is>
          <t>27.27%</t>
        </is>
      </c>
      <c r="D8" s="3" t="inlineStr">
        <is>
          <t>无需卖出</t>
        </is>
      </c>
      <c r="E8" s="3" t="inlineStr">
        <is>
          <t>53.30%</t>
        </is>
      </c>
      <c r="F8" s="3" t="inlineStr">
        <is>
          <t>27.27%</t>
        </is>
      </c>
      <c r="G8" s="9" t="inlineStr">
        <is>
          <t>达标(偏紧)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</row>
    <row r="9">
      <c r="A9" s="3" t="inlineStr">
        <is>
          <t>一周压力损失</t>
        </is>
      </c>
      <c r="B9" s="3" t="inlineStr">
        <is>
          <t>≤6%</t>
        </is>
      </c>
      <c r="C9" s="3" t="inlineStr">
        <is>
          <t>9.07%</t>
        </is>
      </c>
      <c r="D9" s="3" t="inlineStr">
        <is>
          <t>卖A≥5300股</t>
        </is>
      </c>
      <c r="E9" s="3" t="inlineStr">
        <is>
          <t>5.95%</t>
        </is>
      </c>
      <c r="F9" s="3" t="inlineStr">
        <is>
          <t>9.07%</t>
        </is>
      </c>
      <c r="G9" s="8" t="inlineStr">
        <is>
          <t>超限→达标</t>
        </is>
      </c>
      <c r="H9" s="3" t="inlineStr">
        <is>
          <t>最紧约束(绑定)</t>
        </is>
      </c>
      <c r="I9" s="3" t="inlineStr">
        <is>
          <t>卖5200股=6.01%仍超限</t>
        </is>
      </c>
      <c r="J9" s="3" t="inlineStr">
        <is>
          <t>R1</t>
        </is>
      </c>
    </row>
    <row r="10">
      <c r="A10" s="3" t="inlineStr">
        <is>
          <t>单一标的B</t>
        </is>
      </c>
      <c r="B10" s="3" t="inlineStr">
        <is>
          <t>≤22%</t>
        </is>
      </c>
      <c r="C10" s="3" t="inlineStr">
        <is>
          <t>21.40%</t>
        </is>
      </c>
      <c r="D10" s="3" t="inlineStr">
        <is>
          <t>无需(停牌不可卖)</t>
        </is>
      </c>
      <c r="E10" s="3" t="inlineStr">
        <is>
          <t>21.41%</t>
        </is>
      </c>
      <c r="F10" s="3" t="inlineStr">
        <is>
          <t>21.40%</t>
        </is>
      </c>
      <c r="G10" s="9" t="inlineStr">
        <is>
          <t>达标(贴近)</t>
        </is>
      </c>
      <c r="H10" s="3" t="inlineStr">
        <is>
          <t>复牌后监控</t>
        </is>
      </c>
      <c r="I10" s="3" t="inlineStr">
        <is>
          <t>-</t>
        </is>
      </c>
      <c r="J10" s="3" t="inlineStr">
        <is>
          <t>R3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4" customWidth="1" min="4" max="4"/>
    <col width="50" customWidth="1" min="5" max="5"/>
  </cols>
  <sheetData>
    <row r="1">
      <c r="A1" s="1" t="inlineStr">
        <is>
          <t>一周压力情景 S01 逐日/逐项复合（现金与冻结面值不变）</t>
        </is>
      </c>
    </row>
    <row r="3">
      <c r="A3" s="2" t="inlineStr">
        <is>
          <t>项目</t>
        </is>
      </c>
      <c r="B3" s="2" t="inlineStr">
        <is>
          <t>冲击</t>
        </is>
      </c>
      <c r="C3" s="2" t="inlineStr">
        <is>
          <t>原人民币市值</t>
        </is>
      </c>
      <c r="D3" s="2" t="inlineStr">
        <is>
          <t>损失额</t>
        </is>
      </c>
      <c r="E3" s="2" t="inlineStr">
        <is>
          <t>说明</t>
        </is>
      </c>
    </row>
    <row r="4">
      <c r="A4" s="3" t="inlineStr">
        <is>
          <t>铜资源股A</t>
        </is>
      </c>
      <c r="B4" s="3" t="inlineStr">
        <is>
          <t>-12%</t>
        </is>
      </c>
      <c r="C4" s="3" t="n">
        <v>396000</v>
      </c>
      <c r="D4" s="3" t="n">
        <v>47520</v>
      </c>
      <c r="E4" s="3" t="inlineStr">
        <is>
          <t>实时价49.50，可成交</t>
        </is>
      </c>
    </row>
    <row r="5">
      <c r="A5" s="3" t="inlineStr">
        <is>
          <t>光模块股B</t>
        </is>
      </c>
      <c r="B5" s="3" t="inlineStr">
        <is>
          <t>-15%</t>
        </is>
      </c>
      <c r="C5" s="3" t="n">
        <v>216000</v>
      </c>
      <c r="D5" s="3" t="n">
        <v>32400</v>
      </c>
      <c r="E5" s="3" t="inlineStr">
        <is>
          <t>停牌，按9/9收盘120元计，复牌价未知</t>
        </is>
      </c>
    </row>
    <row r="6">
      <c r="A6" s="3" t="inlineStr">
        <is>
          <t>新能源股C</t>
        </is>
      </c>
      <c r="B6" s="3" t="inlineStr">
        <is>
          <t>-10%</t>
        </is>
      </c>
      <c r="C6" s="3" t="n">
        <v>60000</v>
      </c>
      <c r="D6" s="3" t="n">
        <v>6000</v>
      </c>
      <c r="E6" s="3" t="inlineStr">
        <is>
          <t>跌停价60.00</t>
        </is>
      </c>
    </row>
    <row r="7">
      <c r="A7" s="3" t="inlineStr">
        <is>
          <t>恒生科技ETF D</t>
        </is>
      </c>
      <c r="B7" s="3" t="inlineStr">
        <is>
          <t>价-8%+港币-2%</t>
        </is>
      </c>
      <c r="C7" s="3" t="n">
        <v>46000</v>
      </c>
      <c r="D7" s="3" t="n">
        <v>4526.4</v>
      </c>
      <c r="E7" s="3" t="inlineStr">
        <is>
          <t>港币价10→9.20，汇率0.92→0.9016</t>
        </is>
      </c>
    </row>
    <row r="8">
      <c r="A8" s="3" t="inlineStr">
        <is>
          <t>港币现金</t>
        </is>
      </c>
      <c r="B8" s="3" t="inlineStr">
        <is>
          <t>港币-2%</t>
        </is>
      </c>
      <c r="C8" s="3" t="n">
        <v>55200</v>
      </c>
      <c r="D8" s="3" t="n">
        <v>1104</v>
      </c>
      <c r="E8" s="3" t="inlineStr">
        <is>
          <t>60000港币×0.92×2%</t>
        </is>
      </c>
    </row>
    <row r="9">
      <c r="A9" s="3" t="inlineStr">
        <is>
          <t>合计</t>
        </is>
      </c>
      <c r="B9" s="3" t="inlineStr"/>
      <c r="C9" s="3" t="n">
        <v>773200</v>
      </c>
      <c r="D9" s="3" t="n">
        <v>91550.39999999999</v>
      </c>
      <c r="E9" s="3" t="inlineStr">
        <is>
          <t>损失率9.07% &gt; 6%阈值</t>
        </is>
      </c>
    </row>
    <row r="10">
      <c r="A10" s="6" t="inlineStr">
        <is>
          <t>主方案卖A5300股后压力损失</t>
        </is>
      </c>
      <c r="B10" s="3" t="n"/>
      <c r="C10" s="3" t="n"/>
      <c r="D10" s="6" t="n">
        <v>60068.4</v>
      </c>
      <c r="E10" s="3" t="inlineStr">
        <is>
          <t>剩余A市值133650×12%+B32400+C6000+D4526.4+港币1104=60068.4；损失率5.95%≤6%</t>
        </is>
      </c>
    </row>
    <row r="11">
      <c r="A11" s="6" t="inlineStr">
        <is>
          <t>最不利情景判定</t>
        </is>
      </c>
      <c r="B11" s="3" t="n"/>
      <c r="C11" s="3" t="n"/>
      <c r="D11" s="3" t="n"/>
      <c r="E11" s="3" t="inlineStr">
        <is>
          <t>S01统一冲击即题面唯一情景；取其值9.07%判定FAIL，主方案后5.95%判定PASS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34" customWidth="1" min="4" max="4"/>
  </cols>
  <sheetData>
    <row r="1">
      <c r="A1" s="1" t="inlineStr">
        <is>
          <t>方案对比：未调整 / 用户偏好 / 合规减仓(主方案)</t>
        </is>
      </c>
    </row>
    <row r="3">
      <c r="A3" s="2" t="inlineStr">
        <is>
          <t>指标</t>
        </is>
      </c>
      <c r="B3" s="2" t="inlineStr">
        <is>
          <t>未调整现状</t>
        </is>
      </c>
      <c r="C3" s="2" t="inlineStr">
        <is>
          <t>用户偏好(尽量保留A、B)</t>
        </is>
      </c>
      <c r="D3" s="2" t="inlineStr">
        <is>
          <t>合规减仓主方案(卖A5300股)</t>
        </is>
      </c>
    </row>
    <row r="4">
      <c r="A4" s="3" t="inlineStr">
        <is>
          <t>卖出A股数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5300股(53手，来自当日可卖6000股)</t>
        </is>
      </c>
    </row>
    <row r="5">
      <c r="A5" s="3" t="inlineStr">
        <is>
          <t>A剩余市值(元)</t>
        </is>
      </c>
      <c r="B5" s="3" t="n">
        <v>396000</v>
      </c>
      <c r="C5" s="3" t="n">
        <v>396000</v>
      </c>
      <c r="D5" s="3" t="n">
        <v>133650</v>
      </c>
    </row>
    <row r="6">
      <c r="A6" s="3" t="inlineStr">
        <is>
          <t>A权重</t>
        </is>
      </c>
      <c r="B6" s="3" t="inlineStr">
        <is>
          <t>39.24%</t>
        </is>
      </c>
      <c r="C6" s="3" t="inlineStr">
        <is>
          <t>39.24%</t>
        </is>
      </c>
      <c r="D6" s="3" t="inlineStr">
        <is>
          <t>13.25%</t>
        </is>
      </c>
    </row>
    <row r="7">
      <c r="A7" s="3" t="inlineStr">
        <is>
          <t>风险资产权重</t>
        </is>
      </c>
      <c r="B7" s="3" t="inlineStr">
        <is>
          <t>71.15%</t>
        </is>
      </c>
      <c r="C7" s="3" t="inlineStr">
        <is>
          <t>71.15%</t>
        </is>
      </c>
      <c r="D7" s="3" t="inlineStr">
        <is>
          <t>45.16%</t>
        </is>
      </c>
    </row>
    <row r="8">
      <c r="A8" s="3" t="inlineStr">
        <is>
          <t>B权重</t>
        </is>
      </c>
      <c r="B8" s="3" t="inlineStr">
        <is>
          <t>21.40%</t>
        </is>
      </c>
      <c r="C8" s="3" t="inlineStr">
        <is>
          <t>21.40%</t>
        </is>
      </c>
      <c r="D8" s="3" t="inlineStr">
        <is>
          <t>21.41%</t>
        </is>
      </c>
    </row>
    <row r="9">
      <c r="A9" s="3" t="inlineStr">
        <is>
          <t>自由现金权重</t>
        </is>
      </c>
      <c r="B9" s="3" t="inlineStr">
        <is>
          <t>27.27%</t>
        </is>
      </c>
      <c r="C9" s="3" t="inlineStr">
        <is>
          <t>27.27%</t>
        </is>
      </c>
      <c r="D9" s="3" t="inlineStr">
        <is>
          <t>53.30%</t>
        </is>
      </c>
    </row>
    <row r="10">
      <c r="A10" s="3" t="inlineStr">
        <is>
          <t>外币敞口</t>
        </is>
      </c>
      <c r="B10" s="3" t="inlineStr">
        <is>
          <t>10.03%</t>
        </is>
      </c>
      <c r="C10" s="3" t="inlineStr">
        <is>
          <t>10.03%</t>
        </is>
      </c>
      <c r="D10" s="3" t="inlineStr">
        <is>
          <t>10.03%</t>
        </is>
      </c>
    </row>
    <row r="11">
      <c r="A11" s="3" t="inlineStr">
        <is>
          <t>压力损失率</t>
        </is>
      </c>
      <c r="B11" s="3" t="inlineStr">
        <is>
          <t>9.07%</t>
        </is>
      </c>
      <c r="C11" s="3" t="inlineStr">
        <is>
          <t>9.07%</t>
        </is>
      </c>
      <c r="D11" s="3" t="inlineStr">
        <is>
          <t>5.95%</t>
        </is>
      </c>
    </row>
    <row r="12">
      <c r="A12" s="3" t="inlineStr">
        <is>
          <t>是否全部硬约束达标</t>
        </is>
      </c>
      <c r="B12" s="3" t="inlineStr">
        <is>
          <t>否(3项超限)</t>
        </is>
      </c>
      <c r="C12" s="3" t="inlineStr">
        <is>
          <t>否(3项超限)</t>
        </is>
      </c>
      <c r="D12" s="3" t="inlineStr">
        <is>
          <t>是</t>
        </is>
      </c>
    </row>
    <row r="13">
      <c r="A13" s="3" t="inlineStr">
        <is>
          <t>与偏好冲突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主方案按硬约束卖出A，偏离‘保留A’偏好；B停牌不可卖故保留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6" customWidth="1" min="3" max="3"/>
  </cols>
  <sheetData>
    <row r="1">
      <c r="A1" s="1" t="inlineStr">
        <is>
          <t>主方案交易明细（卖A 5300股，限价区间，整手）</t>
        </is>
      </c>
    </row>
    <row r="3">
      <c r="A3" s="2" t="inlineStr">
        <is>
          <t>项目</t>
        </is>
      </c>
      <c r="B3" s="2" t="inlineStr">
        <is>
          <t>数值</t>
        </is>
      </c>
      <c r="C3" s="2" t="inlineStr">
        <is>
          <t>公式/口径</t>
        </is>
      </c>
    </row>
    <row r="4">
      <c r="A4" s="3" t="inlineStr">
        <is>
          <t>卖出标的</t>
        </is>
      </c>
      <c r="B4" s="3" t="inlineStr">
        <is>
          <t>铜资源股A</t>
        </is>
      </c>
      <c r="C4" s="3" t="inlineStr"/>
    </row>
    <row r="5">
      <c r="A5" s="3" t="inlineStr">
        <is>
          <t>卖出数量(股)</t>
        </is>
      </c>
      <c r="B5" s="3" t="n">
        <v>5300</v>
      </c>
      <c r="C5" s="3" t="inlineStr">
        <is>
          <t>53手×100；来自当日可卖6000股(批次1+2)</t>
        </is>
      </c>
    </row>
    <row r="6">
      <c r="A6" s="3" t="inlineStr">
        <is>
          <t>委托价格区间</t>
        </is>
      </c>
      <c r="B6" s="3" t="inlineStr">
        <is>
          <t>49.30–49.50元</t>
        </is>
      </c>
      <c r="C6" s="3" t="inlineStr">
        <is>
          <t>贴近现价49.50，高于近端支撑46.80</t>
        </is>
      </c>
    </row>
    <row r="7">
      <c r="A7" s="3" t="inlineStr">
        <is>
          <t>成交额(元)</t>
        </is>
      </c>
      <c r="B7" s="3" t="n">
        <v>262350</v>
      </c>
      <c r="C7" s="3" t="inlineStr">
        <is>
          <t>5300×49.50</t>
        </is>
      </c>
    </row>
    <row r="8">
      <c r="A8" s="3" t="inlineStr">
        <is>
          <t>卖出综合费用(元)</t>
        </is>
      </c>
      <c r="B8" s="3" t="n">
        <v>262.35</v>
      </c>
      <c r="C8" s="3" t="inlineStr">
        <is>
          <t>成交额×0.10%(假设，D03缺个性化税率)</t>
        </is>
      </c>
    </row>
    <row r="9">
      <c r="A9" s="3" t="inlineStr">
        <is>
          <t>净回笼人民币(元)</t>
        </is>
      </c>
      <c r="B9" s="3" t="n">
        <v>262087.65</v>
      </c>
      <c r="C9" s="3" t="inlineStr">
        <is>
          <t>成交额-费用</t>
        </is>
      </c>
    </row>
    <row r="10">
      <c r="A10" s="3" t="inlineStr">
        <is>
          <t>卖出部分成本(元)</t>
        </is>
      </c>
      <c r="B10" s="3" t="n">
        <v>247787.08</v>
      </c>
      <c r="C10" s="3" t="inlineStr">
        <is>
          <t>可卖批次成本280325×(5300/6000)</t>
        </is>
      </c>
    </row>
    <row r="11">
      <c r="A11" s="3" t="inlineStr">
        <is>
          <t>实现盈亏(扣费后,元)</t>
        </is>
      </c>
      <c r="B11" s="3" t="n">
        <v>14300.57</v>
      </c>
      <c r="C11" s="3" t="inlineStr">
        <is>
          <t>262350-247787.08-262.35</t>
        </is>
      </c>
    </row>
    <row r="12">
      <c r="A12" s="3" t="inlineStr">
        <is>
          <t>剩余A股数</t>
        </is>
      </c>
      <c r="B12" s="3" t="n">
        <v>2700</v>
      </c>
      <c r="C12" s="3" t="inlineStr">
        <is>
          <t>8000-5300(含T+1批次2000)</t>
        </is>
      </c>
    </row>
    <row r="13">
      <c r="A13" s="3" t="inlineStr">
        <is>
          <t>剩余A成本(元)</t>
        </is>
      </c>
      <c r="B13" s="3" t="n">
        <v>136641.92</v>
      </c>
      <c r="C13" s="3" t="inlineStr">
        <is>
          <t>384429-247787.08</t>
        </is>
      </c>
    </row>
    <row r="14">
      <c r="A14" s="3" t="inlineStr">
        <is>
          <t>交易后人民币现金(元)</t>
        </is>
      </c>
      <c r="B14" s="3" t="n">
        <v>482087.65</v>
      </c>
      <c r="C14" s="3" t="inlineStr">
        <is>
          <t>220000+262087.65</t>
        </is>
      </c>
    </row>
    <row r="15">
      <c r="A15" s="3" t="inlineStr">
        <is>
          <t>交易后总资产(元)</t>
        </is>
      </c>
      <c r="B15" s="3" t="n">
        <v>1008937.65</v>
      </c>
      <c r="C15" s="3" t="inlineStr">
        <is>
          <t>1009200-262.35费用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0" customWidth="1" min="3" max="3"/>
    <col width="14" customWidth="1" min="4" max="4"/>
    <col width="26" customWidth="1" min="5" max="5"/>
    <col width="12" customWidth="1" min="6" max="6"/>
    <col width="16" customWidth="1" min="7" max="7"/>
    <col width="14" customWidth="1" min="8" max="8"/>
    <col width="30" customWidth="1" min="9" max="9"/>
    <col width="20" customWidth="1" min="10" max="10"/>
  </cols>
  <sheetData>
    <row r="1">
      <c r="A1" s="1" t="inlineStr">
        <is>
          <t>if→then 交易纪律表（不代客下单、不保证成交）</t>
        </is>
      </c>
    </row>
    <row r="3">
      <c r="A3" s="2" t="inlineStr">
        <is>
          <t>规则号</t>
        </is>
      </c>
      <c r="B3" s="2" t="inlineStr">
        <is>
          <t>触发条件(阈值+截止时点)</t>
        </is>
      </c>
      <c r="C3" s="2" t="inlineStr">
        <is>
          <t>方向自检</t>
        </is>
      </c>
      <c r="D3" s="2" t="inlineStr">
        <is>
          <t>动作</t>
        </is>
      </c>
      <c r="E3" s="2" t="inlineStr">
        <is>
          <t>数量及口径(基准持仓)</t>
        </is>
      </c>
      <c r="F3" s="2" t="inlineStr">
        <is>
          <t>目标权重</t>
        </is>
      </c>
      <c r="G3" s="2" t="inlineStr">
        <is>
          <t>费用与净回笼</t>
        </is>
      </c>
      <c r="H3" s="2" t="inlineStr">
        <is>
          <t>执行时点</t>
        </is>
      </c>
      <c r="I3" s="2" t="inlineStr">
        <is>
          <t>未成交后手</t>
        </is>
      </c>
      <c r="J3" s="2" t="inlineStr">
        <is>
          <t>交易后复核</t>
        </is>
      </c>
    </row>
    <row r="4" ht="58" customHeight="1">
      <c r="A4" s="3" t="inlineStr">
        <is>
          <t>R1</t>
        </is>
      </c>
      <c r="B4" s="3" t="inlineStr">
        <is>
          <t>9/10 14:20–14:55，A在49.00–50.00元区间有连续买盘、未涨停/未停牌</t>
        </is>
      </c>
      <c r="C4" s="3" t="inlineStr">
        <is>
          <t>下跌不触发本规则；本规则在A仍可成交时压降超限敞口，方向正确</t>
        </is>
      </c>
      <c r="D4" s="3" t="inlineStr">
        <is>
          <t>限价卖出A</t>
        </is>
      </c>
      <c r="E4" s="3" t="inlineStr">
        <is>
          <t>累计总卖出5300股(53手)；基准持仓8000股，来自当日可卖6000股</t>
        </is>
      </c>
      <c r="F4" s="3" t="inlineStr">
        <is>
          <t>A降至13.25%</t>
        </is>
      </c>
      <c r="G4" s="3" t="inlineStr">
        <is>
          <t>费用262.35，净回笼262087.65</t>
        </is>
      </c>
      <c r="H4" s="3" t="inlineStr">
        <is>
          <t>9/10剩余时段</t>
        </is>
      </c>
      <c r="I4" s="3" t="inlineStr">
        <is>
          <t>若14:55未全成，未成交量顺延9/11继续限价；9/11另2000股T+1解冻，可卖量充足</t>
        </is>
      </c>
      <c r="J4" s="3" t="inlineStr">
        <is>
          <t>复核A权重≤22%、压力损失≤6%</t>
        </is>
      </c>
    </row>
    <row r="5" ht="58" customHeight="1">
      <c r="A5" s="3" t="inlineStr">
        <is>
          <t>R2</t>
        </is>
      </c>
      <c r="B5" s="3" t="inlineStr">
        <is>
          <t>若R1当日未全部成交，9/11开盘后A仍在48.50–50.50区间</t>
        </is>
      </c>
      <c r="C5" s="3" t="inlineStr">
        <is>
          <t>继续压降，方向正确</t>
        </is>
      </c>
      <c r="D5" s="3" t="inlineStr">
        <is>
          <t>继续限价卖出A</t>
        </is>
      </c>
      <c r="E5" s="3" t="inlineStr">
        <is>
          <t>本阶段追加=未成交余额(累计仍5300股)</t>
        </is>
      </c>
      <c r="F5" s="3" t="inlineStr">
        <is>
          <t>A降至13.25%</t>
        </is>
      </c>
      <c r="G5" s="3" t="inlineStr">
        <is>
          <t>按同费率</t>
        </is>
      </c>
      <c r="H5" s="3" t="inlineStr">
        <is>
          <t>9/11</t>
        </is>
      </c>
      <c r="I5" s="3" t="inlineStr">
        <is>
          <t>若A涨停无法卖，改卖C(若打开跌停反弹至62元上方)或D(港币)；但C/D冲击系数低于A，须复核压力仍≤6%</t>
        </is>
      </c>
      <c r="J5" s="3" t="inlineStr">
        <is>
          <t>复核成交笔数与回笼现金</t>
        </is>
      </c>
    </row>
    <row r="6" ht="58" customHeight="1">
      <c r="A6" s="3" t="inlineStr">
        <is>
          <t>R3</t>
        </is>
      </c>
      <c r="B6" s="3" t="inlineStr">
        <is>
          <t>B复牌首日(预计不早于9/17)，若B涨幅使B权重&gt;22%</t>
        </is>
      </c>
      <c r="C6" s="3" t="inlineStr">
        <is>
          <t>上涨使B权重恶化，方向正确</t>
        </is>
      </c>
      <c r="D6" s="3" t="inlineStr">
        <is>
          <t>限价卖出B</t>
        </is>
      </c>
      <c r="E6" s="3" t="inlineStr">
        <is>
          <t>累计卖出至B权重≤20%(约1800股中超出部分)</t>
        </is>
      </c>
      <c r="F6" s="3" t="inlineStr">
        <is>
          <t>B≤20%</t>
        </is>
      </c>
      <c r="G6" s="3" t="inlineStr">
        <is>
          <t>按同费率</t>
        </is>
      </c>
      <c r="H6" s="3" t="inlineStr">
        <is>
          <t>复牌后首个可交易日</t>
        </is>
      </c>
      <c r="I6" s="3" t="inlineStr">
        <is>
          <t>复牌若跌停则挂单待成交，不追卖</t>
        </is>
      </c>
      <c r="J6" s="3" t="inlineStr">
        <is>
          <t>复核B权重与停牌缺口</t>
        </is>
      </c>
    </row>
    <row r="7" ht="58" customHeight="1">
      <c r="A7" s="3" t="inlineStr">
        <is>
          <t>R4</t>
        </is>
      </c>
      <c r="B7" s="3" t="inlineStr">
        <is>
          <t>C若打开跌停且反弹至62元上方(压力位66元下方)</t>
        </is>
      </c>
      <c r="C7" s="3" t="inlineStr">
        <is>
          <t>反弹提供流动性，方向正确</t>
        </is>
      </c>
      <c r="D7" s="3" t="inlineStr">
        <is>
          <t>限价卖出C(可选)</t>
        </is>
      </c>
      <c r="E7" s="3" t="inlineStr">
        <is>
          <t>1000股(全部)</t>
        </is>
      </c>
      <c r="F7" s="3" t="inlineStr">
        <is>
          <t>C降至0</t>
        </is>
      </c>
      <c r="G7" s="3" t="inlineStr">
        <is>
          <t>按同费率</t>
        </is>
      </c>
      <c r="H7" s="3" t="inlineStr">
        <is>
          <t>9/11起任意交易日</t>
        </is>
      </c>
      <c r="I7" s="3" t="inlineStr">
        <is>
          <t>若仍跌停无买盘，不强行挂单，保留</t>
        </is>
      </c>
      <c r="J7" s="3" t="inlineStr">
        <is>
          <t>复核组合现金</t>
        </is>
      </c>
    </row>
    <row r="8" ht="58" customHeight="1">
      <c r="A8" s="3" t="inlineStr">
        <is>
          <t>R5</t>
        </is>
      </c>
      <c r="B8" s="3" t="inlineStr">
        <is>
          <t>任意时刻：任一硬约束回到限内前，禁止加仓/回补/做T</t>
        </is>
      </c>
      <c r="C8" s="3" t="inlineStr">
        <is>
          <t>约束恶化时扩大敞口错误，方向正确</t>
        </is>
      </c>
      <c r="D8" s="3" t="inlineStr">
        <is>
          <t>暂停买入</t>
        </is>
      </c>
      <c r="E8" s="3" t="inlineStr">
        <is>
          <t>0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持续</t>
        </is>
      </c>
      <c r="I8" s="3" t="inlineStr">
        <is>
          <t>-</t>
        </is>
      </c>
      <c r="J8" s="3" t="inlineStr">
        <is>
          <t>-</t>
        </is>
      </c>
    </row>
    <row r="9" ht="58" customHeight="1">
      <c r="A9" s="3" t="inlineStr">
        <is>
          <t>R6</t>
        </is>
      </c>
      <c r="B9" s="3" t="inlineStr">
        <is>
          <t>9/14冻结16000元解冻到账后</t>
        </is>
      </c>
      <c r="C9" s="3" t="inlineStr">
        <is>
          <t>现金增加，不影响权重</t>
        </is>
      </c>
      <c r="D9" s="3" t="inlineStr">
        <is>
          <t>仅记账，不自动交易</t>
        </is>
      </c>
      <c r="E9" s="3" t="inlineStr">
        <is>
          <t>0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9/14</t>
        </is>
      </c>
      <c r="I9" s="3" t="inlineStr">
        <is>
          <t>-</t>
        </is>
      </c>
      <c r="J9" s="3" t="inlineStr">
        <is>
          <t>复核自由现金≥25%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16" customWidth="1" min="4" max="4"/>
    <col width="22" customWidth="1" min="5" max="5"/>
  </cols>
  <sheetData>
    <row r="1">
      <c r="A1" s="1" t="inlineStr">
        <is>
          <t>核验表：被核验指标｜取值单元格｜公式原文｜重算值｜与正文一致</t>
        </is>
      </c>
    </row>
    <row r="3">
      <c r="A3" s="2" t="inlineStr">
        <is>
          <t>被核验指标</t>
        </is>
      </c>
      <c r="B3" s="2" t="inlineStr">
        <is>
          <t>取值所在单元格</t>
        </is>
      </c>
      <c r="C3" s="2" t="inlineStr">
        <is>
          <t>公式原文</t>
        </is>
      </c>
      <c r="D3" s="2" t="inlineStr">
        <is>
          <t>重算值</t>
        </is>
      </c>
      <c r="E3" s="2" t="inlineStr">
        <is>
          <t>与正文是否一致</t>
        </is>
      </c>
    </row>
    <row r="4">
      <c r="A4" s="3" t="inlineStr">
        <is>
          <t>勾稽总资产-券商总资产残差</t>
        </is>
      </c>
      <c r="B4" s="3" t="inlineStr">
        <is>
          <t>持仓勾稽!F14</t>
        </is>
      </c>
      <c r="C4" s="3">
        <f>F14</f>
        <v/>
      </c>
      <c r="D4" s="3" t="n">
        <v>0</v>
      </c>
      <c r="E4" s="3" t="inlineStr">
        <is>
          <t>是(0，完全勾稽)</t>
        </is>
      </c>
    </row>
    <row r="5">
      <c r="A5" s="3" t="inlineStr">
        <is>
          <t>证券市值合计</t>
        </is>
      </c>
      <c r="B5" s="3" t="inlineStr">
        <is>
          <t>持仓勾稽!F8</t>
        </is>
      </c>
      <c r="C5" s="3">
        <f>SUM(F4:F7)</f>
        <v/>
      </c>
      <c r="D5" s="3" t="n">
        <v>718000</v>
      </c>
      <c r="E5" s="3" t="inlineStr">
        <is>
          <t>是</t>
        </is>
      </c>
    </row>
    <row r="6">
      <c r="A6" s="3" t="inlineStr">
        <is>
          <t>A未实现盈亏</t>
        </is>
      </c>
      <c r="B6" s="3" t="inlineStr">
        <is>
          <t>持仓勾稽!G4</t>
        </is>
      </c>
      <c r="C6" s="3">
        <f>F4-D4</f>
        <v/>
      </c>
      <c r="D6" s="3" t="n">
        <v>11571</v>
      </c>
      <c r="E6" s="3" t="inlineStr">
        <is>
          <t>是</t>
        </is>
      </c>
    </row>
    <row r="7">
      <c r="A7" s="3" t="inlineStr">
        <is>
          <t>B未实现盈亏</t>
        </is>
      </c>
      <c r="B7" s="3" t="inlineStr">
        <is>
          <t>持仓勾稽!G5</t>
        </is>
      </c>
      <c r="C7" s="3">
        <f>F5-D5</f>
        <v/>
      </c>
      <c r="D7" s="3" t="n">
        <v>35640</v>
      </c>
      <c r="E7" s="3" t="inlineStr">
        <is>
          <t>是</t>
        </is>
      </c>
    </row>
    <row r="8">
      <c r="A8" s="3" t="inlineStr">
        <is>
          <t>C未实现盈亏</t>
        </is>
      </c>
      <c r="B8" s="3" t="inlineStr">
        <is>
          <t>持仓勾稽!G6</t>
        </is>
      </c>
      <c r="C8" s="3">
        <f>F6-D6</f>
        <v/>
      </c>
      <c r="D8" s="3" t="n">
        <v>-8102</v>
      </c>
      <c r="E8" s="3" t="inlineStr">
        <is>
          <t>是</t>
        </is>
      </c>
    </row>
    <row r="9">
      <c r="A9" s="3" t="inlineStr">
        <is>
          <t>D未实现盈亏</t>
        </is>
      </c>
      <c r="B9" s="3" t="inlineStr">
        <is>
          <t>持仓勾稽!G7</t>
        </is>
      </c>
      <c r="C9" s="3">
        <f>F7-D7</f>
        <v/>
      </c>
      <c r="D9" s="3" t="n">
        <v>-6852.8</v>
      </c>
      <c r="E9" s="3" t="inlineStr">
        <is>
          <t>是</t>
        </is>
      </c>
    </row>
    <row r="10">
      <c r="A10" s="3" t="inlineStr">
        <is>
          <t>风险资产权重</t>
        </is>
      </c>
      <c r="B10" s="3" t="inlineStr">
        <is>
          <t>硬约束状态!C4</t>
        </is>
      </c>
      <c r="C10" s="3" t="inlineStr">
        <is>
          <t>718000/1009200</t>
        </is>
      </c>
      <c r="D10" s="3" t="n">
        <v>0.7115</v>
      </c>
      <c r="E10" s="3" t="inlineStr">
        <is>
          <t>是</t>
        </is>
      </c>
    </row>
    <row r="11">
      <c r="A11" s="3" t="inlineStr">
        <is>
          <t>压力损失率(现状)</t>
        </is>
      </c>
      <c r="B11" s="3" t="inlineStr">
        <is>
          <t>压力情景!D9</t>
        </is>
      </c>
      <c r="C11" s="3" t="inlineStr">
        <is>
          <t>91550.4/1009200</t>
        </is>
      </c>
      <c r="D11" s="3" t="n">
        <v>0.0907</v>
      </c>
      <c r="E11" s="3" t="inlineStr">
        <is>
          <t>是</t>
        </is>
      </c>
    </row>
    <row r="12">
      <c r="A12" s="3" t="inlineStr">
        <is>
          <t>主方案后压力损失率</t>
        </is>
      </c>
      <c r="B12" s="3" t="inlineStr">
        <is>
          <t>压力情景!D10</t>
        </is>
      </c>
      <c r="C12" s="3" t="inlineStr">
        <is>
          <t>60068.4/1008937.65</t>
        </is>
      </c>
      <c r="D12" s="3" t="n">
        <v>0.0595</v>
      </c>
      <c r="E12" s="3" t="inlineStr">
        <is>
          <t>是</t>
        </is>
      </c>
    </row>
    <row r="13">
      <c r="A13" s="3" t="inlineStr">
        <is>
          <t>风险贡献加总</t>
        </is>
      </c>
      <c r="B13" s="3" t="inlineStr">
        <is>
          <t>(脚本计算)</t>
        </is>
      </c>
      <c r="C13" s="3" t="inlineStr">
        <is>
          <t>Σ RC_i</t>
        </is>
      </c>
      <c r="D13" s="3" t="n">
        <v>1</v>
      </c>
      <c r="E13" s="3" t="inlineStr">
        <is>
          <t>是(=100%)</t>
        </is>
      </c>
    </row>
    <row r="14">
      <c r="A14" s="3" t="inlineStr">
        <is>
          <t>费用隐含费率</t>
        </is>
      </c>
      <c r="B14" s="3" t="inlineStr">
        <is>
          <t>交易明细!B6/B5</t>
        </is>
      </c>
      <c r="C14" s="3" t="inlineStr">
        <is>
          <t>262.35/262350</t>
        </is>
      </c>
      <c r="D14" s="3" t="n">
        <v>0.001</v>
      </c>
      <c r="E14" s="3" t="inlineStr">
        <is>
          <t>是(=假设0.10%)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2026-09-20T04:05:05Z</dcterms:created>
  <dcterms:modified xmlns:dcterms="http://purl.org/dc/terms/" xmlns:xsi="http://www.w3.org/2001/XMLSchema-instance" xsi:type="dcterms:W3CDTF">2026-09-20T04:06:29Z</dcterms:modified>
</cp:coreProperties>
</file>