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输入快照" sheetId="1" state="visible" r:id="rId1"/>
    <sheet xmlns:r="http://schemas.openxmlformats.org/officeDocument/2006/relationships" name="持仓勾稽" sheetId="2" state="visible" r:id="rId2"/>
    <sheet xmlns:r="http://schemas.openxmlformats.org/officeDocument/2006/relationships" name="交易日历" sheetId="3" state="visible" r:id="rId3"/>
    <sheet xmlns:r="http://schemas.openxmlformats.org/officeDocument/2006/relationships" name="硬约束状态" sheetId="4" state="visible" r:id="rId4"/>
    <sheet xmlns:r="http://schemas.openxmlformats.org/officeDocument/2006/relationships" name="方案对比" sheetId="5" state="visible" r:id="rId5"/>
    <sheet xmlns:r="http://schemas.openxmlformats.org/officeDocument/2006/relationships" name="交易明细" sheetId="6" state="visible" r:id="rId6"/>
    <sheet xmlns:r="http://schemas.openxmlformats.org/officeDocument/2006/relationships" name="条件规则" sheetId="7" state="visible" r:id="rId7"/>
    <sheet xmlns:r="http://schemas.openxmlformats.org/officeDocument/2006/relationships" name="核验结果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3" fillId="0" borderId="0" pivotButton="0" quotePrefix="0" xfId="0"/>
    <xf numFmtId="10" fontId="0" fillId="0" borderId="1" pivotButton="0" quotePrefix="0" xfId="0"/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2" customWidth="1" min="4" max="4"/>
    <col width="14" customWidth="1" min="5" max="5"/>
    <col width="16" customWidth="1" min="6" max="6"/>
  </cols>
  <sheetData>
    <row r="1">
      <c r="A1" s="1" t="inlineStr">
        <is>
          <t>输入快照（黄色单元格为材料原值，其余表用公式引用）</t>
        </is>
      </c>
    </row>
    <row r="3">
      <c r="A3" s="2" t="inlineStr">
        <is>
          <t>项目</t>
        </is>
      </c>
      <c r="B3" s="2" t="inlineStr">
        <is>
          <t>数值</t>
        </is>
      </c>
      <c r="C3" s="2" t="inlineStr">
        <is>
          <t>单位</t>
        </is>
      </c>
      <c r="D3" s="2" t="inlineStr">
        <is>
          <t>来源编号</t>
        </is>
      </c>
      <c r="E3" s="2" t="inlineStr">
        <is>
          <t>说明</t>
        </is>
      </c>
    </row>
    <row r="4">
      <c r="A4" s="3" t="inlineStr">
        <is>
          <t>审阅时点</t>
        </is>
      </c>
      <c r="B4" s="4" t="inlineStr">
        <is>
          <t>2026-09-10 14:20</t>
        </is>
      </c>
      <c r="C4" s="3" t="inlineStr"/>
      <c r="D4" s="3" t="inlineStr">
        <is>
          <t>B01</t>
        </is>
      </c>
      <c r="E4" s="3" t="inlineStr">
        <is>
          <t>交易日未收盘</t>
        </is>
      </c>
    </row>
    <row r="5">
      <c r="A5" s="3" t="inlineStr">
        <is>
          <t>基准货币</t>
        </is>
      </c>
      <c r="B5" s="4" t="inlineStr">
        <is>
          <t>人民币</t>
        </is>
      </c>
      <c r="C5" s="3" t="inlineStr"/>
      <c r="D5" s="3" t="inlineStr">
        <is>
          <t>B01</t>
        </is>
      </c>
      <c r="E5" s="3" t="inlineStr"/>
    </row>
    <row r="6">
      <c r="A6" s="3" t="inlineStr">
        <is>
          <t>即期汇率(人民币/港币)</t>
        </is>
      </c>
      <c r="B6" s="4" t="n">
        <v>0.92</v>
      </c>
      <c r="C6" s="3" t="inlineStr">
        <is>
          <t>RMB/HKD</t>
        </is>
      </c>
      <c r="D6" s="3" t="inlineStr">
        <is>
          <t>K02</t>
        </is>
      </c>
      <c r="E6" s="3" t="inlineStr">
        <is>
          <t>当前即期</t>
        </is>
      </c>
    </row>
    <row r="7">
      <c r="A7" s="3" t="inlineStr">
        <is>
          <t>人民币可用现金</t>
        </is>
      </c>
      <c r="B7" s="4" t="n">
        <v>220000</v>
      </c>
      <c r="C7" s="3" t="inlineStr">
        <is>
          <t>RMB</t>
        </is>
      </c>
      <c r="D7" s="3" t="inlineStr">
        <is>
          <t>K01</t>
        </is>
      </c>
      <c r="E7" s="3" t="inlineStr">
        <is>
          <t>未冻结</t>
        </is>
      </c>
    </row>
    <row r="8">
      <c r="A8" s="3" t="inlineStr">
        <is>
          <t>港币可用现金</t>
        </is>
      </c>
      <c r="B8" s="4" t="n">
        <v>60000</v>
      </c>
      <c r="C8" s="3" t="inlineStr">
        <is>
          <t>HKD</t>
        </is>
      </c>
      <c r="D8" s="3" t="inlineStr">
        <is>
          <t>K02</t>
        </is>
      </c>
      <c r="E8" s="3" t="inlineStr">
        <is>
          <t>需换汇方可买A股</t>
        </is>
      </c>
    </row>
    <row r="9">
      <c r="A9" s="3" t="inlineStr">
        <is>
          <t>冻结申购款</t>
        </is>
      </c>
      <c r="B9" s="4" t="n">
        <v>16000</v>
      </c>
      <c r="C9" s="3" t="inlineStr">
        <is>
          <t>RMB</t>
        </is>
      </c>
      <c r="D9" s="3" t="inlineStr">
        <is>
          <t>K03</t>
        </is>
      </c>
      <c r="E9" s="3" t="inlineStr">
        <is>
          <t>9/12解冻(周末),下一交易日可用</t>
        </is>
      </c>
    </row>
    <row r="10">
      <c r="A10" s="3" t="inlineStr">
        <is>
          <t>券商显示总资产</t>
        </is>
      </c>
      <c r="B10" s="4" t="n">
        <v>1009200</v>
      </c>
      <c r="C10" s="3" t="inlineStr">
        <is>
          <t>RMB</t>
        </is>
      </c>
      <c r="D10" s="3" t="inlineStr">
        <is>
          <t>K04</t>
        </is>
      </c>
      <c r="E10" s="3" t="inlineStr">
        <is>
          <t>勾稽锚</t>
        </is>
      </c>
    </row>
    <row r="11">
      <c r="A11" s="3" t="inlineStr">
        <is>
          <t>A现价</t>
        </is>
      </c>
      <c r="B11" s="4" t="n">
        <v>49.5</v>
      </c>
      <c r="C11" s="3" t="inlineStr">
        <is>
          <t>RMB</t>
        </is>
      </c>
      <c r="D11" s="3" t="inlineStr">
        <is>
          <t>H01/M01</t>
        </is>
      </c>
      <c r="E11" s="3" t="inlineStr"/>
    </row>
    <row r="12">
      <c r="A12" s="3" t="inlineStr">
        <is>
          <t>A持仓</t>
        </is>
      </c>
      <c r="B12" s="4" t="n">
        <v>8000</v>
      </c>
      <c r="C12" s="3" t="inlineStr">
        <is>
          <t>股</t>
        </is>
      </c>
      <c r="D12" s="3" t="inlineStr">
        <is>
          <t>H01</t>
        </is>
      </c>
      <c r="E12" s="3" t="inlineStr">
        <is>
          <t>可卖6000;2000当日买入T+1</t>
        </is>
      </c>
    </row>
    <row r="13">
      <c r="A13" s="3" t="inlineStr">
        <is>
          <t>B现价(9/9收盘)</t>
        </is>
      </c>
      <c r="B13" s="4" t="n">
        <v>120</v>
      </c>
      <c r="C13" s="3" t="inlineStr">
        <is>
          <t>RMB</t>
        </is>
      </c>
      <c r="D13" s="3" t="inlineStr">
        <is>
          <t>H02/M02</t>
        </is>
      </c>
      <c r="E13" s="3" t="inlineStr">
        <is>
          <t>9/10停牌,不可成交</t>
        </is>
      </c>
    </row>
    <row r="14">
      <c r="A14" s="3" t="inlineStr">
        <is>
          <t>B持仓</t>
        </is>
      </c>
      <c r="B14" s="4" t="n">
        <v>1800</v>
      </c>
      <c r="C14" s="3" t="inlineStr">
        <is>
          <t>股</t>
        </is>
      </c>
      <c r="D14" s="3" t="inlineStr">
        <is>
          <t>H02/CA01</t>
        </is>
      </c>
      <c r="E14" s="3" t="inlineStr">
        <is>
          <t>10转5后</t>
        </is>
      </c>
    </row>
    <row r="15">
      <c r="A15" s="3" t="inlineStr">
        <is>
          <t>C现价(跌停)</t>
        </is>
      </c>
      <c r="B15" s="4" t="n">
        <v>60</v>
      </c>
      <c r="C15" s="3" t="inlineStr">
        <is>
          <t>RMB</t>
        </is>
      </c>
      <c r="D15" s="3" t="inlineStr">
        <is>
          <t>H03/M03</t>
        </is>
      </c>
      <c r="E15" s="3" t="inlineStr">
        <is>
          <t>14:20买一无有效挂单</t>
        </is>
      </c>
    </row>
    <row r="16">
      <c r="A16" s="3" t="inlineStr">
        <is>
          <t>C持仓</t>
        </is>
      </c>
      <c r="B16" s="4" t="n">
        <v>1000</v>
      </c>
      <c r="C16" s="3" t="inlineStr">
        <is>
          <t>股</t>
        </is>
      </c>
      <c r="D16" s="3" t="inlineStr">
        <is>
          <t>H03</t>
        </is>
      </c>
      <c r="E16" s="3" t="inlineStr"/>
    </row>
    <row r="17">
      <c r="A17" s="3" t="inlineStr">
        <is>
          <t>D现价</t>
        </is>
      </c>
      <c r="B17" s="4" t="n">
        <v>10</v>
      </c>
      <c r="C17" s="3" t="inlineStr">
        <is>
          <t>HKD</t>
        </is>
      </c>
      <c r="D17" s="3" t="inlineStr">
        <is>
          <t>H04/M04</t>
        </is>
      </c>
      <c r="E17" s="3" t="inlineStr">
        <is>
          <t>跨境ETF,T+0</t>
        </is>
      </c>
    </row>
    <row r="18">
      <c r="A18" s="3" t="inlineStr">
        <is>
          <t>D持仓</t>
        </is>
      </c>
      <c r="B18" s="4" t="n">
        <v>5000</v>
      </c>
      <c r="C18" s="3" t="inlineStr">
        <is>
          <t>份</t>
        </is>
      </c>
      <c r="D18" s="3" t="inlineStr">
        <is>
          <t>H04</t>
        </is>
      </c>
      <c r="E18" s="3" t="inlineStr"/>
    </row>
    <row r="20">
      <c r="A20" s="5" t="inlineStr">
        <is>
          <t>批次成本重建</t>
        </is>
      </c>
    </row>
    <row r="21">
      <c r="A21" s="2" t="inlineStr">
        <is>
          <t>批次</t>
        </is>
      </c>
      <c r="B21" s="2" t="inlineStr">
        <is>
          <t>数量</t>
        </is>
      </c>
      <c r="C21" s="2" t="inlineStr">
        <is>
          <t>价格</t>
        </is>
      </c>
      <c r="D21" s="2" t="inlineStr">
        <is>
          <t>费用</t>
        </is>
      </c>
      <c r="E21" s="2" t="inlineStr">
        <is>
          <t>成交日汇率</t>
        </is>
      </c>
      <c r="F21" s="2" t="inlineStr">
        <is>
          <t>成本(RMB)</t>
        </is>
      </c>
    </row>
    <row r="22">
      <c r="A22" s="3" t="inlineStr">
        <is>
          <t>A-L01</t>
        </is>
      </c>
      <c r="B22" s="3" t="n">
        <v>4000</v>
      </c>
      <c r="C22" s="3" t="n">
        <v>45</v>
      </c>
      <c r="D22" s="3" t="n">
        <v>225</v>
      </c>
      <c r="E22" s="3" t="inlineStr">
        <is>
          <t>—</t>
        </is>
      </c>
      <c r="F22" s="3">
        <f>B22*C22+D22</f>
        <v/>
      </c>
    </row>
    <row r="23">
      <c r="A23" s="3" t="inlineStr">
        <is>
          <t>A-L02</t>
        </is>
      </c>
      <c r="B23" s="3" t="n">
        <v>2000</v>
      </c>
      <c r="C23" s="3" t="n">
        <v>50</v>
      </c>
      <c r="D23" s="3" t="n">
        <v>100</v>
      </c>
      <c r="E23" s="3" t="inlineStr">
        <is>
          <t>—</t>
        </is>
      </c>
      <c r="F23" s="3">
        <f>B23*C23+D23</f>
        <v/>
      </c>
    </row>
    <row r="24">
      <c r="A24" s="3" t="inlineStr">
        <is>
          <t>A-L03</t>
        </is>
      </c>
      <c r="B24" s="3" t="n">
        <v>2000</v>
      </c>
      <c r="C24" s="3" t="n">
        <v>52</v>
      </c>
      <c r="D24" s="3" t="n">
        <v>104</v>
      </c>
      <c r="E24" s="3" t="inlineStr">
        <is>
          <t>—</t>
        </is>
      </c>
      <c r="F24" s="3">
        <f>B24*C24+D24</f>
        <v/>
      </c>
    </row>
    <row r="25">
      <c r="A25" s="3" t="inlineStr">
        <is>
          <t>B-L04</t>
        </is>
      </c>
      <c r="B25" s="3" t="n">
        <v>1200</v>
      </c>
      <c r="C25" s="3" t="n">
        <v>150</v>
      </c>
      <c r="D25" s="3" t="n">
        <v>360</v>
      </c>
      <c r="E25" s="3" t="inlineStr">
        <is>
          <t>—</t>
        </is>
      </c>
      <c r="F25" s="3">
        <f>B25*C25+D25</f>
        <v/>
      </c>
    </row>
    <row r="26">
      <c r="A26" s="3" t="inlineStr">
        <is>
          <t>C-L05</t>
        </is>
      </c>
      <c r="B26" s="3" t="n">
        <v>1000</v>
      </c>
      <c r="C26" s="3" t="n">
        <v>68</v>
      </c>
      <c r="D26" s="3" t="n">
        <v>102</v>
      </c>
      <c r="E26" s="3" t="inlineStr">
        <is>
          <t>—</t>
        </is>
      </c>
      <c r="F26" s="3">
        <f>B26*C26+D26</f>
        <v/>
      </c>
    </row>
    <row r="27">
      <c r="A27" s="3" t="inlineStr">
        <is>
          <t>D-L06</t>
        </is>
      </c>
      <c r="B27" s="3" t="n">
        <v>3000</v>
      </c>
      <c r="C27" s="3" t="n">
        <v>11.6</v>
      </c>
      <c r="D27" s="3" t="n">
        <v>34.8</v>
      </c>
      <c r="E27" s="3" t="n">
        <v>0.9399999999999999</v>
      </c>
      <c r="F27" s="3">
        <f>(B27*C27+D27)*E27</f>
        <v/>
      </c>
    </row>
    <row r="28">
      <c r="A28" s="3" t="inlineStr">
        <is>
          <t>D-L07</t>
        </is>
      </c>
      <c r="B28" s="3" t="n">
        <v>2000</v>
      </c>
      <c r="C28" s="3" t="n">
        <v>10.8</v>
      </c>
      <c r="D28" s="3" t="n">
        <v>21.6</v>
      </c>
      <c r="E28" s="3" t="n">
        <v>0.93</v>
      </c>
      <c r="F28" s="3">
        <f>(B28*C28+D28)*E28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4" customWidth="1" min="4" max="4"/>
    <col width="14" customWidth="1" min="5" max="5"/>
    <col width="16" customWidth="1" min="6" max="6"/>
    <col width="10" customWidth="1" min="7" max="7"/>
    <col width="26" customWidth="1" min="8" max="8"/>
  </cols>
  <sheetData>
    <row r="1">
      <c r="A1" s="1" t="inlineStr">
        <is>
          <t>持仓勾稽与盈亏（公式引用输入快照）</t>
        </is>
      </c>
    </row>
    <row r="3">
      <c r="A3" s="2" t="inlineStr">
        <is>
          <t>项目</t>
        </is>
      </c>
      <c r="B3" s="2" t="inlineStr">
        <is>
          <t>数量</t>
        </is>
      </c>
      <c r="C3" s="2" t="inlineStr">
        <is>
          <t>现价</t>
        </is>
      </c>
      <c r="D3" s="2" t="inlineStr">
        <is>
          <t>成本(RMB)</t>
        </is>
      </c>
      <c r="E3" s="2" t="inlineStr">
        <is>
          <t>市值(RMB)</t>
        </is>
      </c>
      <c r="F3" s="2" t="inlineStr">
        <is>
          <t>未实现盈亏(RMB)</t>
        </is>
      </c>
      <c r="G3" s="2" t="inlineStr">
        <is>
          <t>权重%</t>
        </is>
      </c>
      <c r="H3" s="2" t="inlineStr">
        <is>
          <t>备注</t>
        </is>
      </c>
    </row>
    <row r="4">
      <c r="A4" s="3" t="inlineStr">
        <is>
          <t>铜资源股A</t>
        </is>
      </c>
      <c r="B4" s="3">
        <f>输入快照!B12</f>
        <v/>
      </c>
      <c r="C4" s="3">
        <f>输入快照!B11</f>
        <v/>
      </c>
      <c r="D4" s="3">
        <f>SUM(输入快照!F22:F24)</f>
        <v/>
      </c>
      <c r="E4" s="3">
        <f>B4*C4</f>
        <v/>
      </c>
      <c r="F4" s="3">
        <f>E4-D4</f>
        <v/>
      </c>
      <c r="G4" s="6">
        <f>E4/持仓勾稽!E12</f>
        <v/>
      </c>
      <c r="H4" s="3" t="inlineStr">
        <is>
          <t>可卖6000;2000当日T+1</t>
        </is>
      </c>
    </row>
    <row r="5">
      <c r="A5" s="3" t="inlineStr">
        <is>
          <t>光模块股B</t>
        </is>
      </c>
      <c r="B5" s="3">
        <f>输入快照!B14</f>
        <v/>
      </c>
      <c r="C5" s="3">
        <f>输入快照!B13</f>
        <v/>
      </c>
      <c r="D5" s="3">
        <f>输入快照!F25</f>
        <v/>
      </c>
      <c r="E5" s="3">
        <f>B5*C5</f>
        <v/>
      </c>
      <c r="F5" s="3">
        <f>E5-D5</f>
        <v/>
      </c>
      <c r="G5" s="6">
        <f>E5/持仓勾稽!E12</f>
        <v/>
      </c>
      <c r="H5" s="3" t="inlineStr">
        <is>
          <t>停牌,价为9/9收盘</t>
        </is>
      </c>
    </row>
    <row r="6">
      <c r="A6" s="3" t="inlineStr">
        <is>
          <t>新能源股C</t>
        </is>
      </c>
      <c r="B6" s="3">
        <f>输入快照!B16</f>
        <v/>
      </c>
      <c r="C6" s="3">
        <f>输入快照!B15</f>
        <v/>
      </c>
      <c r="D6" s="3">
        <f>输入快照!F26</f>
        <v/>
      </c>
      <c r="E6" s="3">
        <f>B6*C6</f>
        <v/>
      </c>
      <c r="F6" s="3">
        <f>E6-D6</f>
        <v/>
      </c>
      <c r="G6" s="6">
        <f>E6/持仓勾稽!E12</f>
        <v/>
      </c>
      <c r="H6" s="3" t="inlineStr">
        <is>
          <t>跌停</t>
        </is>
      </c>
    </row>
    <row r="7">
      <c r="A7" s="3" t="inlineStr">
        <is>
          <t>恒生科技ETF D</t>
        </is>
      </c>
      <c r="B7" s="3">
        <f>输入快照!B18</f>
        <v/>
      </c>
      <c r="C7" s="3">
        <f>输入快照!B17*输入快照!B6</f>
        <v/>
      </c>
      <c r="D7" s="3">
        <f>SUM(输入快照!F27:F28)</f>
        <v/>
      </c>
      <c r="E7" s="3">
        <f>B7*C7</f>
        <v/>
      </c>
      <c r="F7" s="3">
        <f>E7-D7</f>
        <v/>
      </c>
      <c r="G7" s="6">
        <f>E7/持仓勾稽!E12</f>
        <v/>
      </c>
      <c r="H7" s="3" t="inlineStr">
        <is>
          <t>HKD价×即期汇率</t>
        </is>
      </c>
    </row>
    <row r="8">
      <c r="A8" s="5" t="inlineStr">
        <is>
          <t>证券市值合计</t>
        </is>
      </c>
      <c r="E8" s="5">
        <f>SUM(E4:E7)</f>
        <v/>
      </c>
    </row>
    <row r="9">
      <c r="A9" s="3" t="inlineStr">
        <is>
          <t>人民币现金</t>
        </is>
      </c>
      <c r="E9" s="3">
        <f>输入快照!B7</f>
        <v/>
      </c>
    </row>
    <row r="10">
      <c r="A10" s="3" t="inlineStr">
        <is>
          <t>港币现金折RMB</t>
        </is>
      </c>
      <c r="E10" s="3">
        <f>输入快照!B8*输入快照!B6</f>
        <v/>
      </c>
    </row>
    <row r="11">
      <c r="A11" s="3" t="inlineStr">
        <is>
          <t>冻结申购款</t>
        </is>
      </c>
      <c r="E11" s="3">
        <f>输入快照!B9</f>
        <v/>
      </c>
    </row>
    <row r="12">
      <c r="A12" s="5" t="inlineStr">
        <is>
          <t>总资产(计算)</t>
        </is>
      </c>
      <c r="E12" s="5">
        <f>E8+E9+E10+E11</f>
        <v/>
      </c>
    </row>
    <row r="13">
      <c r="A13" s="3" t="inlineStr">
        <is>
          <t>券商显示总资产</t>
        </is>
      </c>
      <c r="E13" s="3">
        <f>输入快照!B10</f>
        <v/>
      </c>
    </row>
    <row r="14">
      <c r="A14" s="5" t="inlineStr">
        <is>
          <t>勾稽残差</t>
        </is>
      </c>
      <c r="E14" s="5">
        <f>E13-E12</f>
        <v/>
      </c>
    </row>
    <row r="16">
      <c r="A16" s="7" t="inlineStr">
        <is>
          <t>注: 权重%分母=计算总资产; 港币成本按成交日汇率(L06 0.94,L07 0.93), D市值按当前即期0.92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22" customWidth="1" min="4" max="4"/>
    <col width="30" customWidth="1" min="5" max="5"/>
    <col width="28" customWidth="1" min="6" max="6"/>
  </cols>
  <sheetData>
    <row r="1">
      <c r="A1" s="1" t="inlineStr">
        <is>
          <t>交易日历（as-of 2026-09-10 周四 14:20）</t>
        </is>
      </c>
    </row>
    <row r="3">
      <c r="A3" s="2" t="inlineStr">
        <is>
          <t>日历日</t>
        </is>
      </c>
      <c r="B3" s="2" t="inlineStr">
        <is>
          <t>星期</t>
        </is>
      </c>
      <c r="C3" s="2" t="inlineStr">
        <is>
          <t>是否交易日</t>
        </is>
      </c>
      <c r="D3" s="2" t="inlineStr">
        <is>
          <t>可执行时段</t>
        </is>
      </c>
      <c r="E3" s="2" t="inlineStr">
        <is>
          <t>资金可用/可划转</t>
        </is>
      </c>
      <c r="F3" s="2" t="inlineStr">
        <is>
          <t>备注</t>
        </is>
      </c>
    </row>
    <row r="4">
      <c r="A4" s="8" t="inlineStr">
        <is>
          <t>2026-09-10</t>
        </is>
      </c>
      <c r="B4" s="8" t="inlineStr">
        <is>
          <t>周四</t>
        </is>
      </c>
      <c r="C4" s="8" t="inlineStr">
        <is>
          <t>是</t>
        </is>
      </c>
      <c r="D4" s="8" t="inlineStr">
        <is>
          <t>14:20-15:00 仍可交易</t>
        </is>
      </c>
      <c r="E4" s="8" t="inlineStr">
        <is>
          <t>A可卖6000; B停牌; C跌停可报未必成; D T+0</t>
        </is>
      </c>
      <c r="F4" s="8" t="inlineStr">
        <is>
          <t>审阅时点</t>
        </is>
      </c>
    </row>
    <row r="5">
      <c r="A5" s="8" t="inlineStr">
        <is>
          <t>2026-09-11</t>
        </is>
      </c>
      <c r="B5" s="8" t="inlineStr">
        <is>
          <t>周五</t>
        </is>
      </c>
      <c r="C5" s="8" t="inlineStr">
        <is>
          <t>是</t>
        </is>
      </c>
      <c r="D5" s="8" t="inlineStr">
        <is>
          <t>全天</t>
        </is>
      </c>
      <c r="E5" s="8" t="inlineStr">
        <is>
          <t>A当日2000股解冻为可卖; C若开板可成交</t>
        </is>
      </c>
      <c r="F5" s="8" t="inlineStr">
        <is>
          <t>计划D1</t>
        </is>
      </c>
    </row>
    <row r="6">
      <c r="A6" s="8" t="inlineStr">
        <is>
          <t>2026-09-12</t>
        </is>
      </c>
      <c r="B6" s="8" t="inlineStr">
        <is>
          <t>周六</t>
        </is>
      </c>
      <c r="C6" s="8" t="inlineStr">
        <is>
          <t>否</t>
        </is>
      </c>
      <c r="D6" s="8" t="inlineStr">
        <is>
          <t>休市</t>
        </is>
      </c>
      <c r="E6" s="8" t="inlineStr"/>
      <c r="F6" s="8" t="inlineStr">
        <is>
          <t>冻结款预计解冻日(非交易日)</t>
        </is>
      </c>
    </row>
    <row r="7">
      <c r="A7" s="8" t="inlineStr">
        <is>
          <t>2026-09-13</t>
        </is>
      </c>
      <c r="B7" s="8" t="inlineStr">
        <is>
          <t>周日</t>
        </is>
      </c>
      <c r="C7" s="8" t="inlineStr">
        <is>
          <t>否</t>
        </is>
      </c>
      <c r="D7" s="8" t="inlineStr">
        <is>
          <t>休市</t>
        </is>
      </c>
      <c r="E7" s="8" t="inlineStr"/>
      <c r="F7" s="8" t="inlineStr"/>
    </row>
    <row r="8">
      <c r="A8" s="8" t="inlineStr">
        <is>
          <t>2026-09-14</t>
        </is>
      </c>
      <c r="B8" s="8" t="inlineStr">
        <is>
          <t>周一</t>
        </is>
      </c>
      <c r="C8" s="8" t="inlineStr">
        <is>
          <t>是</t>
        </is>
      </c>
      <c r="D8" s="8" t="inlineStr">
        <is>
          <t>全天</t>
        </is>
      </c>
      <c r="E8" s="8" t="inlineStr">
        <is>
          <t>16000冻结款解冻可用; B仍可能停牌</t>
        </is>
      </c>
      <c r="F8" s="8" t="inlineStr">
        <is>
          <t>计划D2</t>
        </is>
      </c>
    </row>
    <row r="9">
      <c r="A9" s="8" t="inlineStr">
        <is>
          <t>2026-09-15</t>
        </is>
      </c>
      <c r="B9" s="8" t="inlineStr">
        <is>
          <t>周二</t>
        </is>
      </c>
      <c r="C9" s="8" t="inlineStr">
        <is>
          <t>是</t>
        </is>
      </c>
      <c r="D9" s="8" t="inlineStr">
        <is>
          <t>全天</t>
        </is>
      </c>
      <c r="E9" s="8" t="inlineStr"/>
      <c r="F9" s="8" t="inlineStr">
        <is>
          <t>计划D3</t>
        </is>
      </c>
    </row>
    <row r="10">
      <c r="A10" s="8" t="inlineStr">
        <is>
          <t>2026-09-17</t>
        </is>
      </c>
      <c r="B10" s="8" t="inlineStr">
        <is>
          <t>周四</t>
        </is>
      </c>
      <c r="C10" s="8" t="inlineStr">
        <is>
          <t>是</t>
        </is>
      </c>
      <c r="D10" s="8" t="inlineStr">
        <is>
          <t>全天</t>
        </is>
      </c>
      <c r="E10" s="8" t="inlineStr">
        <is>
          <t>B停牌预计≤5交易日,约此日前复牌</t>
        </is>
      </c>
      <c r="F10" s="8" t="inlineStr">
        <is>
          <t>B复牌观察日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2" customWidth="1" min="4" max="4"/>
    <col width="28" customWidth="1" min="5" max="5"/>
    <col width="16" customWidth="1" min="6" max="6"/>
    <col width="10" customWidth="1" min="7" max="7"/>
  </cols>
  <sheetData>
    <row r="1">
      <c r="A1" s="1" t="inlineStr">
        <is>
          <t>硬约束状态表（当前 vs 主方案交易后）</t>
        </is>
      </c>
    </row>
    <row r="3">
      <c r="A3" s="2" t="inlineStr">
        <is>
          <t>约束</t>
        </is>
      </c>
      <c r="B3" s="2" t="inlineStr">
        <is>
          <t>阈值</t>
        </is>
      </c>
      <c r="C3" s="2" t="inlineStr">
        <is>
          <t>当前值</t>
        </is>
      </c>
      <c r="D3" s="2" t="inlineStr">
        <is>
          <t>主方案后值</t>
        </is>
      </c>
      <c r="E3" s="2" t="inlineStr">
        <is>
          <t>判定</t>
        </is>
      </c>
      <c r="F3" s="2" t="inlineStr">
        <is>
          <t>反解达标量</t>
        </is>
      </c>
      <c r="G3" s="2" t="inlineStr">
        <is>
          <t>对应规则</t>
        </is>
      </c>
    </row>
    <row r="4">
      <c r="A4" s="3" t="inlineStr">
        <is>
          <t>风险资产仓位</t>
        </is>
      </c>
      <c r="B4" s="3" t="inlineStr">
        <is>
          <t>≤70%</t>
        </is>
      </c>
      <c r="C4" s="6">
        <f>'持仓勾稽'!E8/持仓勾稽!E12</f>
        <v/>
      </c>
      <c r="D4" s="6">
        <f>方案对比!C10</f>
        <v/>
      </c>
      <c r="E4" s="8" t="inlineStr">
        <is>
          <t>主方案后42.5%</t>
        </is>
      </c>
      <c r="F4" s="3" t="inlineStr"/>
    </row>
    <row r="5">
      <c r="A5" s="3" t="inlineStr">
        <is>
          <t>单票A</t>
        </is>
      </c>
      <c r="B5" s="3" t="inlineStr">
        <is>
          <t>≤22%</t>
        </is>
      </c>
      <c r="C5" s="6">
        <f>'持仓勾稽'!E4/持仓勾稽!E12</f>
        <v/>
      </c>
      <c r="D5" s="6">
        <f>方案对比!C8</f>
        <v/>
      </c>
      <c r="E5" s="8" t="inlineStr">
        <is>
          <t>至少卖A 3600股(整手)</t>
        </is>
      </c>
      <c r="F5" s="3" t="inlineStr">
        <is>
          <t>R1</t>
        </is>
      </c>
    </row>
    <row r="6">
      <c r="A6" s="3" t="inlineStr">
        <is>
          <t>单票B</t>
        </is>
      </c>
      <c r="B6" s="3" t="inlineStr">
        <is>
          <t>≤22%</t>
        </is>
      </c>
      <c r="C6" s="6">
        <f>'持仓勾稽'!E5/持仓勾稽!E12</f>
        <v/>
      </c>
      <c r="D6" s="6">
        <f>方案对比!C9</f>
        <v/>
      </c>
      <c r="E6" s="8" t="inlineStr">
        <is>
          <t>停牌无法卖;监控123.30</t>
        </is>
      </c>
      <c r="F6" s="3" t="inlineStr">
        <is>
          <t>R4</t>
        </is>
      </c>
    </row>
    <row r="7">
      <c r="A7" s="3" t="inlineStr">
        <is>
          <t>主题B+C+D</t>
        </is>
      </c>
      <c r="B7" s="3" t="inlineStr">
        <is>
          <t>≤35%</t>
        </is>
      </c>
      <c r="C7" s="6">
        <f>('持仓勾稽'!E5+'持仓勾稽'!E6+'持仓勾稽'!E7)/持仓勾稽!E12</f>
        <v/>
      </c>
      <c r="D7" s="6">
        <f>方案对比!C11</f>
        <v/>
      </c>
      <c r="E7" s="8" t="inlineStr">
        <is>
          <t>主方案后21.4%</t>
        </is>
      </c>
      <c r="F7" s="3" t="inlineStr"/>
    </row>
    <row r="8">
      <c r="A8" s="3" t="inlineStr">
        <is>
          <t>外币敞口</t>
        </is>
      </c>
      <c r="B8" s="3" t="inlineStr">
        <is>
          <t>≤25%</t>
        </is>
      </c>
      <c r="C8" s="6">
        <f>('持仓勾稽'!E7+'持仓勾稽'!E10)/持仓勾稽!E12</f>
        <v/>
      </c>
      <c r="D8" s="6">
        <f>方案对比!C12</f>
        <v/>
      </c>
      <c r="E8" s="8" t="inlineStr">
        <is>
          <t>10%,不绑定</t>
        </is>
      </c>
      <c r="F8" s="3" t="inlineStr"/>
    </row>
    <row r="9">
      <c r="A9" s="3" t="inlineStr">
        <is>
          <t>自由现金</t>
        </is>
      </c>
      <c r="B9" s="3" t="inlineStr">
        <is>
          <t>≥25%</t>
        </is>
      </c>
      <c r="C9" s="6">
        <f>('持仓勾稽'!E9+'持仓勾稽'!E10)/持仓勾稽!E12</f>
        <v/>
      </c>
      <c r="D9" s="6">
        <f>方案对比!C13</f>
        <v/>
      </c>
      <c r="E9" s="8" t="inlineStr">
        <is>
          <t>主方案后55.9%</t>
        </is>
      </c>
      <c r="F9" s="3" t="inlineStr"/>
    </row>
    <row r="10">
      <c r="A10" s="3" t="inlineStr">
        <is>
          <t>一周压力损失</t>
        </is>
      </c>
      <c r="B10" s="3" t="inlineStr">
        <is>
          <t>≤6%</t>
        </is>
      </c>
      <c r="C10" s="6">
        <f>方案对比!B14</f>
        <v/>
      </c>
      <c r="D10" s="6">
        <f>方案对比!C15</f>
        <v/>
      </c>
      <c r="E10" s="8" t="inlineStr">
        <is>
          <t>卖C+D替代多卖A</t>
        </is>
      </c>
      <c r="F10" s="3" t="inlineStr">
        <is>
          <t>R2/R3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6" customWidth="1" min="3" max="3"/>
    <col width="24" customWidth="1" min="4" max="4"/>
  </cols>
  <sheetData>
    <row r="1">
      <c r="A1" s="1" t="inlineStr">
        <is>
          <t>方案对比（未调整 / 主方案合规 / C卖不出的备用路径）</t>
        </is>
      </c>
    </row>
    <row r="3">
      <c r="A3" s="2" t="inlineStr">
        <is>
          <t>指标</t>
        </is>
      </c>
      <c r="B3" s="2" t="inlineStr">
        <is>
          <t>未调整</t>
        </is>
      </c>
      <c r="C3" s="2" t="inlineStr">
        <is>
          <t>主方案(A3700+C1000+D5000)</t>
        </is>
      </c>
      <c r="D3" s="2" t="inlineStr">
        <is>
          <t>备用(C0: A4800+D5000)</t>
        </is>
      </c>
    </row>
    <row r="4">
      <c r="A4" s="3" t="inlineStr">
        <is>
          <t>卖出A(股)</t>
        </is>
      </c>
      <c r="B4" s="3" t="n">
        <v>0</v>
      </c>
      <c r="C4" s="3" t="n">
        <v>3700</v>
      </c>
      <c r="D4" s="3" t="n">
        <v>4800</v>
      </c>
    </row>
    <row r="5">
      <c r="A5" s="3" t="inlineStr">
        <is>
          <t>卖出C(股)</t>
        </is>
      </c>
      <c r="B5" s="3" t="n">
        <v>0</v>
      </c>
      <c r="C5" s="3" t="n">
        <v>1000</v>
      </c>
      <c r="D5" s="3" t="n">
        <v>0</v>
      </c>
    </row>
    <row r="6">
      <c r="A6" s="3" t="inlineStr">
        <is>
          <t>卖出D(份)</t>
        </is>
      </c>
      <c r="B6" s="3" t="n">
        <v>0</v>
      </c>
      <c r="C6" s="3" t="n">
        <v>5000</v>
      </c>
      <c r="D6" s="3" t="n">
        <v>5000</v>
      </c>
    </row>
    <row r="7">
      <c r="A7" s="3" t="inlineStr">
        <is>
          <t>总资产(RMB)</t>
        </is>
      </c>
      <c r="B7" s="3" t="n">
        <v>1009200</v>
      </c>
      <c r="C7" s="3" t="n">
        <v>1008786</v>
      </c>
      <c r="D7" s="3" t="n">
        <v>1008790</v>
      </c>
    </row>
    <row r="8">
      <c r="A8" s="3" t="inlineStr">
        <is>
          <t>A权重</t>
        </is>
      </c>
      <c r="B8" s="6" t="n">
        <v>0.3924</v>
      </c>
      <c r="C8" s="6" t="n">
        <v>0.211</v>
      </c>
      <c r="D8" s="6" t="n">
        <v>0.157</v>
      </c>
    </row>
    <row r="9">
      <c r="A9" s="3" t="inlineStr">
        <is>
          <t>B权重</t>
        </is>
      </c>
      <c r="B9" s="6" t="n">
        <v>0.214</v>
      </c>
      <c r="C9" s="6" t="n">
        <v>0.2141</v>
      </c>
      <c r="D9" s="6" t="n">
        <v>0.2141</v>
      </c>
    </row>
    <row r="10">
      <c r="A10" s="3" t="inlineStr">
        <is>
          <t>风险资产仓位</t>
        </is>
      </c>
      <c r="B10" s="6" t="n">
        <v>0.7115</v>
      </c>
      <c r="C10" s="6" t="n">
        <v>0.4251</v>
      </c>
      <c r="D10" s="6" t="n">
        <v>0.4306</v>
      </c>
    </row>
    <row r="11">
      <c r="A11" s="3" t="inlineStr">
        <is>
          <t>主题B+C+D</t>
        </is>
      </c>
      <c r="B11" s="6" t="n">
        <v>0.3191</v>
      </c>
      <c r="C11" s="6" t="n">
        <v>0.2141</v>
      </c>
      <c r="D11" s="6" t="n">
        <v>0.2736</v>
      </c>
    </row>
    <row r="12">
      <c r="A12" s="3" t="inlineStr">
        <is>
          <t>外币敞口</t>
        </is>
      </c>
      <c r="B12" s="6" t="n">
        <v>0.1003</v>
      </c>
      <c r="C12" s="6" t="n">
        <v>0.1003</v>
      </c>
      <c r="D12" s="6" t="n">
        <v>0.1003</v>
      </c>
    </row>
    <row r="13">
      <c r="A13" s="3" t="inlineStr">
        <is>
          <t>自由现金</t>
        </is>
      </c>
      <c r="B13" s="6" t="n">
        <v>0.2727</v>
      </c>
      <c r="C13" s="6" t="n">
        <v>0.5590000000000001</v>
      </c>
      <c r="D13" s="6" t="n">
        <v>0.5535</v>
      </c>
    </row>
    <row r="14">
      <c r="A14" s="3" t="inlineStr">
        <is>
          <t>压力损失率(当前)</t>
        </is>
      </c>
      <c r="B14" s="6" t="n">
        <v>0.0907</v>
      </c>
      <c r="C14" s="3" t="inlineStr">
        <is>
          <t>—</t>
        </is>
      </c>
      <c r="D14" s="3" t="inlineStr">
        <is>
          <t>—</t>
        </is>
      </c>
    </row>
    <row r="15">
      <c r="A15" s="3" t="inlineStr">
        <is>
          <t>压力损失率(方案后)</t>
        </is>
      </c>
      <c r="B15" s="3" t="inlineStr">
        <is>
          <t>—</t>
        </is>
      </c>
      <c r="C15" s="6" t="n">
        <v>0.0594</v>
      </c>
      <c r="D15" s="6" t="n">
        <v>0.0589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22" customWidth="1" min="4" max="4"/>
    <col width="14" customWidth="1" min="5" max="5"/>
    <col width="10" customWidth="1" min="6" max="6"/>
    <col width="14" customWidth="1" min="7" max="7"/>
    <col width="14" customWidth="1" min="8" max="8"/>
    <col width="40" customWidth="1" min="9" max="9"/>
  </cols>
  <sheetData>
    <row r="1">
      <c r="A1" s="1" t="inlineStr">
        <is>
          <t>主方案交易明细（成交假设下；费用率为显式假设）</t>
        </is>
      </c>
    </row>
    <row r="2">
      <c r="A2" s="7" t="inlineStr">
        <is>
          <t>假设费率: A股卖出 佣金0.10%+印花税0.05%+过户费0.001%=0.151%(最低5元); ETF卖出 0.101%; 无滑点(题未给)。D卖出得港币,换汇前不可买A股。</t>
        </is>
      </c>
    </row>
    <row r="4">
      <c r="A4" s="2" t="inlineStr">
        <is>
          <t>规则</t>
        </is>
      </c>
      <c r="B4" s="2" t="inlineStr">
        <is>
          <t>标的</t>
        </is>
      </c>
      <c r="C4" s="2" t="inlineStr">
        <is>
          <t>数量</t>
        </is>
      </c>
      <c r="D4" s="2" t="inlineStr">
        <is>
          <t>价格区间</t>
        </is>
      </c>
      <c r="E4" s="2" t="inlineStr">
        <is>
          <t>成交额(RMB)</t>
        </is>
      </c>
      <c r="F4" s="2" t="inlineStr">
        <is>
          <t>费用</t>
        </is>
      </c>
      <c r="G4" s="2" t="inlineStr">
        <is>
          <t>净回笼(RMB)</t>
        </is>
      </c>
      <c r="H4" s="2" t="inlineStr">
        <is>
          <t>实现盈亏(RMB)</t>
        </is>
      </c>
      <c r="I4" s="2" t="inlineStr">
        <is>
          <t>批次/可卖说明</t>
        </is>
      </c>
    </row>
    <row r="5">
      <c r="A5" s="8" t="inlineStr">
        <is>
          <t>R1</t>
        </is>
      </c>
      <c r="B5" s="8" t="inlineStr">
        <is>
          <t>卖A</t>
        </is>
      </c>
      <c r="C5" s="8" t="n">
        <v>3700</v>
      </c>
      <c r="D5" s="8" t="inlineStr">
        <is>
          <t>49.00-49.80(限价)</t>
        </is>
      </c>
      <c r="E5" s="8" t="n">
        <v>183150</v>
      </c>
      <c r="F5" s="8" t="n">
        <v>276.6</v>
      </c>
      <c r="G5" s="8" t="n">
        <v>182873.4</v>
      </c>
      <c r="H5" s="8" t="n">
        <v>5075</v>
      </c>
      <c r="I5" s="8" t="inlineStr">
        <is>
          <t>卖可卖批次L01+L02共6000中的3700;L03当日2000受T+1不可卖</t>
        </is>
      </c>
    </row>
    <row r="6">
      <c r="A6" s="8" t="inlineStr">
        <is>
          <t>R2</t>
        </is>
      </c>
      <c r="B6" s="8" t="inlineStr">
        <is>
          <t>卖C</t>
        </is>
      </c>
      <c r="C6" s="8" t="n">
        <v>1000</v>
      </c>
      <c r="D6" s="8" t="inlineStr">
        <is>
          <t>60.00跌停价限价;若开板市价优先</t>
        </is>
      </c>
      <c r="E6" s="8" t="n">
        <v>60000</v>
      </c>
      <c r="F6" s="8" t="n">
        <v>90.59999999999999</v>
      </c>
      <c r="G6" s="8" t="n">
        <v>59909.4</v>
      </c>
      <c r="H6" s="8" t="n">
        <v>-8193</v>
      </c>
      <c r="I6" s="8" t="inlineStr">
        <is>
          <t>跌停可报单,买盘不足或不成交;未成交转R2b</t>
        </is>
      </c>
    </row>
    <row r="7">
      <c r="A7" s="8" t="inlineStr">
        <is>
          <t>R3</t>
        </is>
      </c>
      <c r="B7" s="8" t="inlineStr">
        <is>
          <t>卖D</t>
        </is>
      </c>
      <c r="C7" s="8" t="n">
        <v>5000</v>
      </c>
      <c r="D7" s="8" t="inlineStr">
        <is>
          <t>9.90-10.10港币</t>
        </is>
      </c>
      <c r="E7" s="8" t="n">
        <v>46000</v>
      </c>
      <c r="F7" s="8" t="n">
        <v>46.5</v>
      </c>
      <c r="G7" s="8" t="n">
        <v>45953.5</v>
      </c>
      <c r="H7" s="8" t="n">
        <v>-6899</v>
      </c>
      <c r="I7" s="8" t="inlineStr">
        <is>
          <t>T+0;得港币约50000,换汇前不增加A股可用金</t>
        </is>
      </c>
    </row>
    <row r="8">
      <c r="A8" s="5" t="inlineStr">
        <is>
          <t>合计</t>
        </is>
      </c>
      <c r="E8" s="5">
        <f>SUM(E5:E7)</f>
        <v/>
      </c>
      <c r="F8" s="5">
        <f>SUM(F5:F7)</f>
        <v/>
      </c>
      <c r="G8" s="5">
        <f>SUM(G5:G7)</f>
        <v/>
      </c>
      <c r="H8" s="5">
        <f>SUM(H5:H7)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8" customWidth="1" min="4" max="4"/>
    <col width="14" customWidth="1" min="5" max="5"/>
    <col width="16" customWidth="1" min="6" max="6"/>
    <col width="16" customWidth="1" min="7" max="7"/>
    <col width="28" customWidth="1" min="8" max="8"/>
    <col width="22" customWidth="1" min="9" max="9"/>
  </cols>
  <sheetData>
    <row r="1">
      <c r="A1" s="1" t="inlineStr">
        <is>
          <t>if→then 交易纪律（不代客下单,不保证成交）</t>
        </is>
      </c>
    </row>
    <row r="3">
      <c r="A3" s="2" t="inlineStr">
        <is>
          <t>规则号</t>
        </is>
      </c>
      <c r="B3" s="2" t="inlineStr">
        <is>
          <t>触发条件(阈值+时点)</t>
        </is>
      </c>
      <c r="C3" s="2" t="inlineStr">
        <is>
          <t>动作</t>
        </is>
      </c>
      <c r="D3" s="2" t="inlineStr">
        <is>
          <t>数量/口径</t>
        </is>
      </c>
      <c r="E3" s="2" t="inlineStr">
        <is>
          <t>目标仓位</t>
        </is>
      </c>
      <c r="F3" s="2" t="inlineStr">
        <is>
          <t>费用与净回笼</t>
        </is>
      </c>
      <c r="G3" s="2" t="inlineStr">
        <is>
          <t>执行时点</t>
        </is>
      </c>
      <c r="H3" s="2" t="inlineStr">
        <is>
          <t>未成交后手</t>
        </is>
      </c>
      <c r="I3" s="2" t="inlineStr">
        <is>
          <t>交易后复核</t>
        </is>
      </c>
    </row>
    <row r="4">
      <c r="A4" s="8" t="inlineStr">
        <is>
          <t>R1</t>
        </is>
      </c>
      <c r="B4" s="8" t="inlineStr">
        <is>
          <t>9/10收盘前A权重&gt;22%(当前39.2%);A在49.00-49.80区间有买盘</t>
        </is>
      </c>
      <c r="C4" s="8" t="inlineStr">
        <is>
          <t>卖A</t>
        </is>
      </c>
      <c r="D4" s="8" t="inlineStr">
        <is>
          <t>3700股(累计;基准持仓8000)</t>
        </is>
      </c>
      <c r="E4" s="8" t="inlineStr">
        <is>
          <t>A权重≤21%</t>
        </is>
      </c>
      <c r="F4" s="8" t="inlineStr">
        <is>
          <t>费用≈277,净回笼≈18.3万</t>
        </is>
      </c>
      <c r="G4" s="8" t="inlineStr">
        <is>
          <t>9/10 14:30-14:55限价挂单</t>
        </is>
      </c>
      <c r="H4" s="8" t="inlineStr">
        <is>
          <t>若A封涨停/无买盘未成交,9/11改限价49.50±0.50;仍未成交则下延并先卖D</t>
        </is>
      </c>
      <c r="I4" s="8" t="inlineStr">
        <is>
          <t>复核A权重≤22%、风险资产≤70%</t>
        </is>
      </c>
    </row>
    <row r="5">
      <c r="A5" s="8" t="inlineStr">
        <is>
          <t>R2</t>
        </is>
      </c>
      <c r="B5" s="8" t="inlineStr">
        <is>
          <t>C仍跌停且买一薄;风险约束要求压损失</t>
        </is>
      </c>
      <c r="C5" s="8" t="inlineStr">
        <is>
          <t>卖C</t>
        </is>
      </c>
      <c r="D5" s="8" t="inlineStr">
        <is>
          <t>1000股(累计;基准1000,清仓)</t>
        </is>
      </c>
      <c r="E5" s="8" t="inlineStr">
        <is>
          <t>C=0</t>
        </is>
      </c>
      <c r="F5" s="8" t="inlineStr">
        <is>
          <t>费用≈91,净回笼≈6.0万</t>
        </is>
      </c>
      <c r="G5" s="8" t="inlineStr">
        <is>
          <t>9/10收盘前+9/11开盘</t>
        </is>
      </c>
      <c r="H5" s="8" t="inlineStr">
        <is>
          <t>若3个交易日仍跌停无法成交,改卖A至4800股(见R2b)</t>
        </is>
      </c>
      <c r="I5" s="8" t="inlineStr">
        <is>
          <t>复核压力损失≤6%</t>
        </is>
      </c>
    </row>
    <row r="6">
      <c r="A6" s="8" t="inlineStr">
        <is>
          <t>R2b</t>
        </is>
      </c>
      <c r="B6" s="8" t="inlineStr">
        <is>
          <t>C连续3日跌停无法成交</t>
        </is>
      </c>
      <c r="C6" s="8" t="inlineStr">
        <is>
          <t>追加卖A</t>
        </is>
      </c>
      <c r="D6" s="8" t="inlineStr">
        <is>
          <t>+1100股(累计A卖4800)</t>
        </is>
      </c>
      <c r="E6" s="8" t="inlineStr">
        <is>
          <t>A权重≤16%</t>
        </is>
      </c>
      <c r="F6" s="8" t="inlineStr">
        <is>
          <t>费用增量≈82</t>
        </is>
      </c>
      <c r="G6" s="8" t="inlineStr">
        <is>
          <t>9/14</t>
        </is>
      </c>
      <c r="H6" s="8" t="inlineStr">
        <is>
          <t>用A替代C承担压降</t>
        </is>
      </c>
      <c r="I6" s="8" t="inlineStr">
        <is>
          <t>复核压力损失≤6%</t>
        </is>
      </c>
    </row>
    <row r="7">
      <c r="A7" s="8" t="inlineStr">
        <is>
          <t>R3</t>
        </is>
      </c>
      <c r="B7" s="8" t="inlineStr">
        <is>
          <t>D现价≥9.90港币且需降风险</t>
        </is>
      </c>
      <c r="C7" s="8" t="inlineStr">
        <is>
          <t>卖D</t>
        </is>
      </c>
      <c r="D7" s="8" t="inlineStr">
        <is>
          <t>5000份(累计;基准5000,清仓)</t>
        </is>
      </c>
      <c r="E7" s="8" t="inlineStr">
        <is>
          <t>D=0</t>
        </is>
      </c>
      <c r="F7" s="8" t="inlineStr">
        <is>
          <t>费用≈46,得港币≈5万</t>
        </is>
      </c>
      <c r="G7" s="8" t="inlineStr">
        <is>
          <t>9/10-9/11 T+0随时</t>
        </is>
      </c>
      <c r="H7" s="8" t="inlineStr">
        <is>
          <t>若D跌穿9.80支撑,改为限价9.80-10.00;不急于在低位砸出</t>
        </is>
      </c>
      <c r="I7" s="8" t="inlineStr">
        <is>
          <t>复核外币敞口仍≤25%</t>
        </is>
      </c>
    </row>
    <row r="8">
      <c r="A8" s="8" t="inlineStr">
        <is>
          <t>R4</t>
        </is>
      </c>
      <c r="B8" s="8" t="inlineStr">
        <is>
          <t>B复牌且报价&gt;123.30(权重将破22%)</t>
        </is>
      </c>
      <c r="C8" s="8" t="inlineStr">
        <is>
          <t>评估减B</t>
        </is>
      </c>
      <c r="D8" s="8" t="inlineStr">
        <is>
          <t>按整手反解</t>
        </is>
      </c>
      <c r="E8" s="8" t="inlineStr">
        <is>
          <t>B权重≤21%</t>
        </is>
      </c>
      <c r="F8" s="8" t="inlineStr">
        <is>
          <t>—</t>
        </is>
      </c>
      <c r="G8" s="8" t="inlineStr">
        <is>
          <t>复牌首日盘中</t>
        </is>
      </c>
      <c r="H8" s="8" t="inlineStr">
        <is>
          <t>停牌期间不可执行;复牌若&gt;123.30须卖至21%以下;若复牌&lt;112支撑不追卖</t>
        </is>
      </c>
      <c r="I8" s="8" t="inlineStr">
        <is>
          <t>复核B权重、相关性聚集</t>
        </is>
      </c>
    </row>
    <row r="9">
      <c r="A9" s="8" t="inlineStr">
        <is>
          <t>R5(止损/止盈)</t>
        </is>
      </c>
      <c r="B9" s="8" t="inlineStr">
        <is>
          <t>A跌破近端支撑46.80且放量</t>
        </is>
      </c>
      <c r="C9" s="8" t="inlineStr">
        <is>
          <t>不补仓/不加杠杆;已减仓部分持有观察</t>
        </is>
      </c>
      <c r="D9" s="8" t="inlineStr">
        <is>
          <t>—</t>
        </is>
      </c>
      <c r="E9" s="8" t="inlineStr">
        <is>
          <t>维持A≤21%</t>
        </is>
      </c>
      <c r="F9" s="8" t="inlineStr">
        <is>
          <t>—</t>
        </is>
      </c>
      <c r="G9" s="8" t="inlineStr">
        <is>
          <t>盘中</t>
        </is>
      </c>
      <c r="H9" s="8" t="inlineStr">
        <is>
          <t>跌破46.80不做T不加仓;反弹至52.00压力且权重回升,再减500股</t>
        </is>
      </c>
      <c r="I9" s="8" t="inlineStr">
        <is>
          <t>禁止在约束未回限内加仓</t>
        </is>
      </c>
    </row>
    <row r="10">
      <c r="A10" s="8" t="inlineStr">
        <is>
          <t>R6(撤销)</t>
        </is>
      </c>
      <c r="B10" s="8" t="inlineStr">
        <is>
          <t>客户书面放宽单票上限或压力损失阈值</t>
        </is>
      </c>
      <c r="C10" s="8" t="inlineStr">
        <is>
          <t>暂停R1-R3</t>
        </is>
      </c>
      <c r="D10" s="8" t="inlineStr">
        <is>
          <t>—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—</t>
        </is>
      </c>
      <c r="H10" s="8" t="inlineStr">
        <is>
          <t>新约束下重算;否则规则持续有效</t>
        </is>
      </c>
      <c r="I10" s="8" t="inlineStr">
        <is>
          <t>以最新书面约束为准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交付自检回执</t>
        </is>
      </c>
    </row>
    <row r="3">
      <c r="A3" s="2" t="inlineStr">
        <is>
          <t>自检项</t>
        </is>
      </c>
      <c r="B3" s="2" t="inlineStr">
        <is>
          <t>填写值</t>
        </is>
      </c>
    </row>
    <row r="4">
      <c r="A4" s="3" t="inlineStr">
        <is>
          <t>交付清单</t>
        </is>
      </c>
      <c r="B4" s="8" t="inlineStr">
        <is>
          <t>1件: 组合诊断与交易计划.xlsx (本文件),8个工作表</t>
        </is>
      </c>
    </row>
    <row r="5">
      <c r="A5" s="3" t="inlineStr">
        <is>
          <t>工作簿可复算</t>
        </is>
      </c>
      <c r="B5" s="8" t="inlineStr">
        <is>
          <t>持仓勾稽!E4='输入快照'!B14*'输入快照'!B11 等公式;批次成本F列=(B*C+D)*E;重算见 LibreOffice</t>
        </is>
      </c>
    </row>
    <row r="6">
      <c r="A6" s="3" t="inlineStr">
        <is>
          <t>占比分母</t>
        </is>
      </c>
      <c r="B6" s="8" t="inlineStr">
        <is>
          <t>所有权重分母=计算总资产=1,008,926(交易前1,009,200);分子为对应市值</t>
        </is>
      </c>
    </row>
    <row r="7">
      <c r="A7" s="3" t="inlineStr">
        <is>
          <t>最紧约束</t>
        </is>
      </c>
      <c r="B7" s="8" t="inlineStr">
        <is>
          <t>单票A:当前39.24%&gt;22%;反解卖A 3600股(整手);主方案卖3700股留缓冲→规则R1</t>
        </is>
      </c>
    </row>
    <row r="8">
      <c r="A8" s="3" t="inlineStr">
        <is>
          <t>分解型占比</t>
        </is>
      </c>
      <c r="B8" s="8" t="inlineStr">
        <is>
          <t>A+B+C+D+现金+冻结=100.00%;主题B+C+D主方案21.41%</t>
        </is>
      </c>
    </row>
    <row r="9">
      <c r="A9" s="3" t="inlineStr">
        <is>
          <t>最不利情景</t>
        </is>
      </c>
      <c r="B9" s="8" t="inlineStr">
        <is>
          <t>S01一周统一冲击:方案后损失59,965=5.94%≤6%(取最不利;B停牌15%无法降)</t>
        </is>
      </c>
    </row>
    <row r="10">
      <c r="A10" s="3" t="inlineStr">
        <is>
          <t>日期来源</t>
        </is>
      </c>
      <c r="B10" s="8" t="inlineStr">
        <is>
          <t>动作日均取自交易日历表;9/12-13周末非交易日,冻结款9/14可用</t>
        </is>
      </c>
    </row>
    <row r="11">
      <c r="A11" s="3" t="inlineStr">
        <is>
          <t>数量口径</t>
        </is>
      </c>
      <c r="B11" s="8" t="inlineStr">
        <is>
          <t>R1累计卖3700股(基准8000);R2b累计卖4800股;不混用追加/累计</t>
        </is>
      </c>
    </row>
    <row r="12">
      <c r="A12" s="3" t="inlineStr">
        <is>
          <t>费用口径</t>
        </is>
      </c>
      <c r="B12" s="8" t="inlineStr">
        <is>
          <t>A股0.151%、ETF0.101%(题未给,显式假设);隐含费率与假设一致</t>
        </is>
      </c>
    </row>
    <row r="13">
      <c r="A13" s="3" t="inlineStr">
        <is>
          <t>跨文件一致</t>
        </is>
      </c>
      <c r="B13" s="8" t="inlineStr">
        <is>
          <t>正文A权重21.10%=方案对比!C8=交易明细R1;压力损失5.94%=方案对比!C15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2026-09-19T16:10:41Z</dcterms:created>
  <dcterms:modified xmlns:dcterms="http://purl.org/dc/terms/" xmlns:xsi="http://www.w3.org/2001/XMLSchema-instance" xsi:type="dcterms:W3CDTF">2026-09-19T16:10:41Z</dcterms:modified>
</cp:coreProperties>
</file>