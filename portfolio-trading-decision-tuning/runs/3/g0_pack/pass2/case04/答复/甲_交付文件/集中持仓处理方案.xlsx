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核对" sheetId="1" state="visible" r:id="rId1"/>
    <sheet xmlns:r="http://schemas.openxmlformats.org/officeDocument/2006/relationships" name="调整与情景测算" sheetId="2" state="visible" r:id="rId2"/>
    <sheet xmlns:r="http://schemas.openxmlformats.org/officeDocument/2006/relationships" name="客户沟通说明" sheetId="3" state="visible" r:id="rId3"/>
  </sheets>
  <definedNames>
    <definedName name="_xlnm._FilterDatabase" localSheetId="1" hidden="1">'调整与情景测算'!$A$1:$X$11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2" customHeight="1">
      <c r="A1" s="1" t="inlineStr">
        <is>
          <t>账户核对｜2026-09-08 14:30</t>
        </is>
      </c>
      <c r="B1" s="1" t="inlineStr">
        <is>
          <t>数值/公式</t>
        </is>
      </c>
      <c r="C1" s="1" t="inlineStr">
        <is>
          <t>说明</t>
        </is>
      </c>
      <c r="D1" s="1" t="n"/>
      <c r="E1" s="1" t="n"/>
      <c r="F1" s="1" t="n"/>
      <c r="G1" s="1" t="n"/>
      <c r="H1" s="1" t="n"/>
      <c r="I1" s="1" t="n"/>
    </row>
    <row r="2">
      <c r="A2" s="2" t="inlineStr">
        <is>
          <t>13:00汇总页总资产</t>
        </is>
      </c>
      <c r="B2" s="2" t="n">
        <v>2030000</v>
      </c>
      <c r="C2" s="2" t="inlineStr">
        <is>
          <t>汇总页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13:00现金</t>
        </is>
      </c>
      <c r="B3" s="2" t="n">
        <v>230000</v>
      </c>
      <c r="C3" s="2" t="inlineStr">
        <is>
          <t>已含10:12买入EQ02扣款，不得重复扣除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14:30证券市值</t>
        </is>
      </c>
      <c r="B4" s="2">
        <f>SUM(E9:E12)</f>
        <v/>
      </c>
      <c r="C4" s="2" t="inlineStr">
        <is>
          <t>按14:30买一价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14:30现金</t>
        </is>
      </c>
      <c r="B5" s="2" t="n">
        <v>230000</v>
      </c>
      <c r="C5" s="2" t="inlineStr">
        <is>
          <t>账户交接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14:30采用净资产</t>
        </is>
      </c>
      <c r="B6" s="2">
        <f>B4+B5</f>
        <v/>
      </c>
      <c r="C6" s="2" t="inlineStr">
        <is>
          <t>无负债、融资、质押和其他资产</t>
        </is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13:00至14:30差额</t>
        </is>
      </c>
      <c r="B7" s="2">
        <f>B6-B2</f>
        <v/>
      </c>
      <c r="C7" s="2" t="inlineStr">
        <is>
          <t>仅由EQ01、EQ02各下跌1元造成，共-40,000元</t>
        </is>
      </c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代号</t>
        </is>
      </c>
      <c r="B9" s="2" t="inlineStr">
        <is>
          <t>资产</t>
        </is>
      </c>
      <c r="C9" s="2" t="inlineStr">
        <is>
          <t>总数量</t>
        </is>
      </c>
      <c r="D9" s="2" t="inlineStr">
        <is>
          <t>今日可卖</t>
        </is>
      </c>
      <c r="E9" s="2" t="inlineStr">
        <is>
          <t>14:30市值</t>
        </is>
      </c>
      <c r="F9" s="2" t="inlineStr">
        <is>
          <t>批次成本</t>
        </is>
      </c>
      <c r="G9" s="2" t="inlineStr">
        <is>
          <t>浮动盈亏</t>
        </is>
      </c>
      <c r="H9" s="2" t="inlineStr">
        <is>
          <t>权重</t>
        </is>
      </c>
      <c r="I9" s="2" t="inlineStr">
        <is>
          <t>处理说明</t>
        </is>
      </c>
    </row>
    <row r="10">
      <c r="A10" s="2" t="inlineStr">
        <is>
          <t>EQ01</t>
        </is>
      </c>
      <c r="B10" s="2" t="inlineStr">
        <is>
          <t>光伏设备</t>
        </is>
      </c>
      <c r="C10" s="2" t="n">
        <v>20000</v>
      </c>
      <c r="D10" s="2" t="n">
        <v>20000</v>
      </c>
      <c r="E10" s="3">
        <f>C10*25</f>
        <v/>
      </c>
      <c r="F10" s="3" t="n">
        <v>600000</v>
      </c>
      <c r="G10" s="3">
        <f>E10-F10</f>
        <v/>
      </c>
      <c r="H10" s="4">
        <f>E10/$B$6</f>
        <v/>
      </c>
      <c r="I10" s="2" t="inlineStr"/>
    </row>
    <row r="11">
      <c r="A11" s="2" t="inlineStr">
        <is>
          <t>EQ02</t>
        </is>
      </c>
      <c r="B11" s="2" t="inlineStr">
        <is>
          <t>电池制造</t>
        </is>
      </c>
      <c r="C11" s="2" t="n">
        <v>20000</v>
      </c>
      <c r="D11" s="2" t="n">
        <v>16000</v>
      </c>
      <c r="E11" s="3">
        <f>C11*30</f>
        <v/>
      </c>
      <c r="F11" s="3" t="n">
        <v>682000</v>
      </c>
      <c r="G11" s="3">
        <f>E11-F11</f>
        <v/>
      </c>
      <c r="H11" s="4">
        <f>E11/$B$6</f>
        <v/>
      </c>
      <c r="I11" s="2" t="inlineStr">
        <is>
          <t>EQ02含今日买入4,000股，今日不可卖</t>
        </is>
      </c>
    </row>
    <row r="12">
      <c r="A12" s="2" t="inlineStr">
        <is>
          <t>EQ03</t>
        </is>
      </c>
      <c r="B12" s="2" t="inlineStr">
        <is>
          <t>公用事业</t>
        </is>
      </c>
      <c r="C12" s="2" t="n">
        <v>30000</v>
      </c>
      <c r="D12" s="2" t="n">
        <v>30000</v>
      </c>
      <c r="E12" s="3">
        <f>C12*10</f>
        <v/>
      </c>
      <c r="F12" s="3" t="n">
        <v>240000</v>
      </c>
      <c r="G12" s="3">
        <f>E12-F12</f>
        <v/>
      </c>
      <c r="H12" s="4">
        <f>E12/$B$6</f>
        <v/>
      </c>
      <c r="I12" s="2" t="inlineStr"/>
    </row>
    <row r="13">
      <c r="A13" s="2" t="inlineStr">
        <is>
          <t>ETF01</t>
        </is>
      </c>
      <c r="B13" s="2" t="inlineStr">
        <is>
          <t>A股宽基ETF</t>
        </is>
      </c>
      <c r="C13" s="2" t="n">
        <v>120000</v>
      </c>
      <c r="D13" s="2" t="n">
        <v>120000</v>
      </c>
      <c r="E13" s="3">
        <f>C13*3</f>
        <v/>
      </c>
      <c r="F13" s="3" t="n">
        <v>336000</v>
      </c>
      <c r="G13" s="3">
        <f>E13-F13</f>
        <v/>
      </c>
      <c r="H13" s="4">
        <f>E13/$B$6</f>
        <v/>
      </c>
      <c r="I13" s="2" t="inlineStr"/>
    </row>
    <row r="14">
      <c r="A14" s="2" t="inlineStr">
        <is>
          <t>合计</t>
        </is>
      </c>
      <c r="B14" s="2" t="inlineStr"/>
      <c r="C14" s="2">
        <f>SUM(C10:C13)</f>
        <v/>
      </c>
      <c r="D14" s="2">
        <f>SUM(D10:D13)</f>
        <v/>
      </c>
      <c r="E14" s="3">
        <f>SUM(E10:E13)</f>
        <v/>
      </c>
      <c r="F14" s="3">
        <f>SUM(F10:F13)</f>
        <v/>
      </c>
      <c r="G14" s="3">
        <f>SUM(G10:G13)</f>
        <v/>
      </c>
      <c r="H14" s="4">
        <f>SUM(H10:H13)</f>
        <v/>
      </c>
      <c r="I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约束</t>
        </is>
      </c>
      <c r="B16" s="2" t="inlineStr">
        <is>
          <t>阈值</t>
        </is>
      </c>
      <c r="C16" s="2" t="inlineStr">
        <is>
          <t>当前值</t>
        </is>
      </c>
      <c r="D16" s="2" t="inlineStr">
        <is>
          <t>状态</t>
        </is>
      </c>
      <c r="E16" s="2" t="inlineStr">
        <is>
          <t>口径</t>
        </is>
      </c>
      <c r="F16" s="2" t="n"/>
      <c r="G16" s="2" t="n"/>
      <c r="H16" s="2" t="n"/>
      <c r="I16" s="2" t="n"/>
    </row>
    <row r="17">
      <c r="A17" s="2" t="inlineStr">
        <is>
          <t>单股</t>
        </is>
      </c>
      <c r="B17" s="2">
        <f>25%</f>
        <v/>
      </c>
      <c r="C17" s="2">
        <f>MAX(H10:H13)</f>
        <v/>
      </c>
      <c r="D17" s="2">
        <f>IF(C16&lt;=B16,"通过","不通过")</f>
        <v/>
      </c>
      <c r="E17" s="2" t="inlineStr">
        <is>
          <t>14:30 NAV</t>
        </is>
      </c>
      <c r="F17" s="2" t="n"/>
      <c r="G17" s="2" t="n"/>
      <c r="H17" s="2" t="n"/>
      <c r="I17" s="2" t="n"/>
    </row>
    <row r="18">
      <c r="A18" s="2" t="inlineStr">
        <is>
          <t>新能源</t>
        </is>
      </c>
      <c r="B18" s="2">
        <f>45%</f>
        <v/>
      </c>
      <c r="C18" s="2">
        <f>(E10+E11)/$B$6</f>
        <v/>
      </c>
      <c r="D18" s="2">
        <f>IF(C17&lt;=B17,"通过","不通过")</f>
        <v/>
      </c>
      <c r="E18" s="2" t="inlineStr">
        <is>
          <t>EQ01+EQ02</t>
        </is>
      </c>
      <c r="F18" s="2" t="n"/>
      <c r="G18" s="2" t="n"/>
      <c r="H18" s="2" t="n"/>
      <c r="I18" s="2" t="n"/>
    </row>
    <row r="19">
      <c r="A19" s="2" t="inlineStr">
        <is>
          <t>现金</t>
        </is>
      </c>
      <c r="B19" s="2">
        <f>300000</f>
        <v/>
      </c>
      <c r="C19" s="2">
        <f>B5</f>
        <v/>
      </c>
      <c r="D19" s="2">
        <f>IF(C18&gt;=B18,"通过","不通过")</f>
        <v/>
      </c>
      <c r="E19" s="2" t="inlineStr">
        <is>
          <t>现金</t>
        </is>
      </c>
      <c r="F19" s="2" t="n"/>
      <c r="G19" s="2" t="n"/>
      <c r="H19" s="2" t="n"/>
      <c r="I19" s="2" t="n"/>
    </row>
    <row r="20">
      <c r="A20" s="2" t="inlineStr">
        <is>
          <t>联动损失</t>
        </is>
      </c>
      <c r="B20" s="2">
        <f>12%</f>
        <v/>
      </c>
      <c r="C20" s="2">
        <f>(25%*(E10+E11)+8%*E12+12%*E13)/$B$6</f>
        <v/>
      </c>
      <c r="D20" s="2">
        <f>IF(C19&lt;=B19,"通过","不通过")</f>
        <v/>
      </c>
      <c r="E20" s="2" t="inlineStr">
        <is>
          <t>冲击损失/NAV，现金不冲击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核对结论</t>
        </is>
      </c>
      <c r="B22" s="2" t="inlineStr">
        <is>
          <t>采用14:30净资产1,990,000元；13:00的2,030,000元不再作为同一时点分母。差额-40,000元由EQ01和EQ02价格各下降1元、各持20,000股构成。</t>
        </is>
      </c>
      <c r="C22" s="2" t="inlineStr"/>
      <c r="D22" s="2" t="inlineStr"/>
      <c r="E22" s="2" t="inlineStr"/>
      <c r="F22" s="2" t="n"/>
      <c r="G22" s="2" t="n"/>
      <c r="H22" s="2" t="n"/>
      <c r="I2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58" customWidth="1" min="24" max="24"/>
  </cols>
  <sheetData>
    <row r="1" ht="32" customHeight="1">
      <c r="A1" s="1" t="inlineStr">
        <is>
          <t>方案/情景</t>
        </is>
      </c>
      <c r="B1" s="1" t="inlineStr">
        <is>
          <t>时间</t>
        </is>
      </c>
      <c r="C1" s="1" t="inlineStr">
        <is>
          <t>EQ01卖股</t>
        </is>
      </c>
      <c r="D1" s="1" t="inlineStr">
        <is>
          <t>EQ02卖股</t>
        </is>
      </c>
      <c r="E1" s="1" t="inlineStr">
        <is>
          <t>EQ03卖股</t>
        </is>
      </c>
      <c r="F1" s="1" t="inlineStr">
        <is>
          <t>ETF01卖份</t>
        </is>
      </c>
      <c r="G1" s="1" t="inlineStr">
        <is>
          <t>新能源价格系数</t>
        </is>
      </c>
      <c r="H1" s="1" t="inlineStr">
        <is>
          <t>卖出费用</t>
        </is>
      </c>
      <c r="I1" s="1" t="inlineStr">
        <is>
          <t>净回款</t>
        </is>
      </c>
      <c r="J1" s="1" t="inlineStr">
        <is>
          <t>EQ01剩余市值</t>
        </is>
      </c>
      <c r="K1" s="1" t="inlineStr">
        <is>
          <t>EQ02剩余市值</t>
        </is>
      </c>
      <c r="L1" s="1" t="inlineStr">
        <is>
          <t>EQ03剩余市值</t>
        </is>
      </c>
      <c r="M1" s="1" t="inlineStr">
        <is>
          <t>ETF剩余市值</t>
        </is>
      </c>
      <c r="N1" s="1" t="inlineStr">
        <is>
          <t>现金</t>
        </is>
      </c>
      <c r="O1" s="1" t="inlineStr">
        <is>
          <t>净资产</t>
        </is>
      </c>
      <c r="P1" s="1" t="inlineStr">
        <is>
          <t>最大单股权重</t>
        </is>
      </c>
      <c r="Q1" s="1" t="inlineStr">
        <is>
          <t>新能源权重</t>
        </is>
      </c>
      <c r="R1" s="1" t="inlineStr">
        <is>
          <t>现金余额</t>
        </is>
      </c>
      <c r="S1" s="1" t="inlineStr">
        <is>
          <t>联动损失率</t>
        </is>
      </c>
      <c r="T1" s="1" t="inlineStr">
        <is>
          <t>单股&lt;=25%</t>
        </is>
      </c>
      <c r="U1" s="1" t="inlineStr">
        <is>
          <t>新能源&lt;=45%</t>
        </is>
      </c>
      <c r="V1" s="1" t="inlineStr">
        <is>
          <t>现金&gt;=30万</t>
        </is>
      </c>
      <c r="W1" s="1" t="inlineStr">
        <is>
          <t>联动&lt;=12%</t>
        </is>
      </c>
      <c r="X1" s="1" t="inlineStr">
        <is>
          <t>结论/条件</t>
        </is>
      </c>
    </row>
    <row r="2">
      <c r="A2" s="2" t="inlineStr">
        <is>
          <t>未调整</t>
        </is>
      </c>
      <c r="B2" s="2" t="inlineStr">
        <is>
          <t>今日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</v>
      </c>
      <c r="H2" s="3">
        <f>IF(C2&gt;0,MAX(5,C2*25*0.08%),0)+IF(D2&gt;0,MAX(5,D2*30*0.08%),0)+IF(E2&gt;0,MAX(5,E2*10*0.08%),0)+IF(F2&gt;0,MAX(5,F2*3*0.03%),0)</f>
        <v/>
      </c>
      <c r="I2" s="3">
        <f>C2*25+D2*30+E2*10+F2*3-H2</f>
        <v/>
      </c>
      <c r="J2" s="3">
        <f>(20000-C2)*25*G2</f>
        <v/>
      </c>
      <c r="K2" s="3">
        <f>(20000-D2)*30*G2</f>
        <v/>
      </c>
      <c r="L2" s="3">
        <f>(30000-E2)*10</f>
        <v/>
      </c>
      <c r="M2" s="3">
        <f>(120000-F2)*3</f>
        <v/>
      </c>
      <c r="N2" s="3">
        <f>230000+I2</f>
        <v/>
      </c>
      <c r="O2" s="3">
        <f>SUM(J2:N2)</f>
        <v/>
      </c>
      <c r="P2" s="4">
        <f>MAX(J2:M2)/O2</f>
        <v/>
      </c>
      <c r="Q2" s="4">
        <f>(J2+K2)/O2</f>
        <v/>
      </c>
      <c r="R2" s="3">
        <f>N2</f>
        <v/>
      </c>
      <c r="S2" s="4">
        <f>(25%*(J2+K2)+8%*L2+12%*M2)/O2</f>
        <v/>
      </c>
      <c r="T2" s="2">
        <f>IF(P2&lt;=25%,"通过","不通过")</f>
        <v/>
      </c>
      <c r="U2" s="2">
        <f>IF(Q2&lt;=45%,"通过","不通过")</f>
        <v/>
      </c>
      <c r="V2" s="2">
        <f>IF(R2&gt;=300000,"通过","不通过")</f>
        <v/>
      </c>
      <c r="W2" s="2">
        <f>IF(S2&lt;=12%,"通过","不通过")</f>
        <v/>
      </c>
      <c r="X2" s="2" t="inlineStr">
        <is>
          <t>基准；不计假设费用</t>
        </is>
      </c>
    </row>
    <row r="3">
      <c r="A3" s="2" t="inlineStr">
        <is>
          <t>只卖盈利公用事业</t>
        </is>
      </c>
      <c r="B3" s="2" t="inlineStr">
        <is>
          <t>今日</t>
        </is>
      </c>
      <c r="C3" s="2" t="n">
        <v>0</v>
      </c>
      <c r="D3" s="2" t="n">
        <v>0</v>
      </c>
      <c r="E3" s="2" t="n">
        <v>30000</v>
      </c>
      <c r="F3" s="2" t="n">
        <v>0</v>
      </c>
      <c r="G3" s="2" t="n">
        <v>1</v>
      </c>
      <c r="H3" s="3">
        <f>IF(C3&gt;0,MAX(5,C3*25*0.08%),0)+IF(D3&gt;0,MAX(5,D3*30*0.08%),0)+IF(E3&gt;0,MAX(5,E3*10*0.08%),0)+IF(F3&gt;0,MAX(5,F3*3*0.03%),0)</f>
        <v/>
      </c>
      <c r="I3" s="3">
        <f>C3*25+D3*30+E3*10+F3*3-H3</f>
        <v/>
      </c>
      <c r="J3" s="3">
        <f>(20000-C3)*25*G3</f>
        <v/>
      </c>
      <c r="K3" s="3">
        <f>(20000-D3)*30*G3</f>
        <v/>
      </c>
      <c r="L3" s="3">
        <f>(30000-E3)*10</f>
        <v/>
      </c>
      <c r="M3" s="3">
        <f>(120000-F3)*3</f>
        <v/>
      </c>
      <c r="N3" s="3">
        <f>230000+I3</f>
        <v/>
      </c>
      <c r="O3" s="3">
        <f>SUM(J3:N3)</f>
        <v/>
      </c>
      <c r="P3" s="4">
        <f>MAX(J3:M3)/O3</f>
        <v/>
      </c>
      <c r="Q3" s="4">
        <f>(J3+K3)/O3</f>
        <v/>
      </c>
      <c r="R3" s="3">
        <f>N3</f>
        <v/>
      </c>
      <c r="S3" s="4">
        <f>(25%*(J3+K3)+8%*L3+12%*M3)/O3</f>
        <v/>
      </c>
      <c r="T3" s="2">
        <f>IF(P3&lt;=25%,"通过","不通过")</f>
        <v/>
      </c>
      <c r="U3" s="2">
        <f>IF(Q3&lt;=45%,"通过","不通过")</f>
        <v/>
      </c>
      <c r="V3" s="2">
        <f>IF(R3&gt;=300000,"通过","不通过")</f>
        <v/>
      </c>
      <c r="W3" s="2">
        <f>IF(S3&lt;=12%,"通过","不通过")</f>
        <v/>
      </c>
      <c r="X3" s="2" t="inlineStr">
        <is>
          <t>若报价、可卖数和盘口正常，则仅卖EQ03；用于证明客户偏好不可满足硬约束</t>
        </is>
      </c>
    </row>
    <row r="4">
      <c r="A4" s="2" t="inlineStr">
        <is>
          <t>按组合风险减仓</t>
        </is>
      </c>
      <c r="B4" s="2" t="inlineStr">
        <is>
          <t>今日</t>
        </is>
      </c>
      <c r="C4" s="2" t="n">
        <v>12000</v>
      </c>
      <c r="D4" s="2" t="n">
        <v>3800</v>
      </c>
      <c r="E4" s="2" t="n">
        <v>0</v>
      </c>
      <c r="F4" s="2" t="n">
        <v>0</v>
      </c>
      <c r="G4" s="2" t="n">
        <v>1</v>
      </c>
      <c r="H4" s="3">
        <f>IF(C4&gt;0,MAX(5,C4*25*0.08%),0)+IF(D4&gt;0,MAX(5,D4*30*0.08%),0)+IF(E4&gt;0,MAX(5,E4*10*0.08%),0)+IF(F4&gt;0,MAX(5,F4*3*0.03%),0)</f>
        <v/>
      </c>
      <c r="I4" s="3">
        <f>C4*25+D4*30+E4*10+F4*3-H4</f>
        <v/>
      </c>
      <c r="J4" s="3">
        <f>(20000-C4)*25*G4</f>
        <v/>
      </c>
      <c r="K4" s="3">
        <f>(20000-D4)*30*G4</f>
        <v/>
      </c>
      <c r="L4" s="3">
        <f>(30000-E4)*10</f>
        <v/>
      </c>
      <c r="M4" s="3">
        <f>(120000-F4)*3</f>
        <v/>
      </c>
      <c r="N4" s="3">
        <f>230000+I4</f>
        <v/>
      </c>
      <c r="O4" s="3">
        <f>SUM(J4:N4)</f>
        <v/>
      </c>
      <c r="P4" s="4">
        <f>MAX(J4:M4)/O4</f>
        <v/>
      </c>
      <c r="Q4" s="4">
        <f>(J4+K4)/O4</f>
        <v/>
      </c>
      <c r="R4" s="3">
        <f>N4</f>
        <v/>
      </c>
      <c r="S4" s="4">
        <f>(25%*(J4+K4)+8%*L4+12%*M4)/O4</f>
        <v/>
      </c>
      <c r="T4" s="2">
        <f>IF(P4&lt;=25%,"通过","不通过")</f>
        <v/>
      </c>
      <c r="U4" s="2">
        <f>IF(Q4&lt;=45%,"通过","不通过")</f>
        <v/>
      </c>
      <c r="V4" s="2">
        <f>IF(R4&gt;=300000,"通过","不通过")</f>
        <v/>
      </c>
      <c r="W4" s="2">
        <f>IF(S4&lt;=12%,"通过","不通过")</f>
        <v/>
      </c>
      <c r="X4" s="2" t="inlineStr">
        <is>
          <t>若EQ01/EQ02报价有效、非跌停且可卖数分别不少于12,000/3,800股，则提交审批</t>
        </is>
      </c>
    </row>
    <row r="5">
      <c r="A5" s="2" t="inlineStr">
        <is>
          <t>风险方案未成交</t>
        </is>
      </c>
      <c r="B5" s="2" t="inlineStr">
        <is>
          <t>今日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1</v>
      </c>
      <c r="H5" s="3">
        <f>IF(C5&gt;0,MAX(5,C5*25*0.08%),0)+IF(D5&gt;0,MAX(5,D5*30*0.08%),0)+IF(E5&gt;0,MAX(5,E5*10*0.08%),0)+IF(F5&gt;0,MAX(5,F5*3*0.03%),0)</f>
        <v/>
      </c>
      <c r="I5" s="3">
        <f>C5*25+D5*30+E5*10+F5*3-H5</f>
        <v/>
      </c>
      <c r="J5" s="3">
        <f>(20000-C5)*25*G5</f>
        <v/>
      </c>
      <c r="K5" s="3">
        <f>(20000-D5)*30*G5</f>
        <v/>
      </c>
      <c r="L5" s="3">
        <f>(30000-E5)*10</f>
        <v/>
      </c>
      <c r="M5" s="3">
        <f>(120000-F5)*3</f>
        <v/>
      </c>
      <c r="N5" s="3">
        <f>230000+I5</f>
        <v/>
      </c>
      <c r="O5" s="3">
        <f>SUM(J5:N5)</f>
        <v/>
      </c>
      <c r="P5" s="4">
        <f>MAX(J5:M5)/O5</f>
        <v/>
      </c>
      <c r="Q5" s="4">
        <f>(J5+K5)/O5</f>
        <v/>
      </c>
      <c r="R5" s="3">
        <f>N5</f>
        <v/>
      </c>
      <c r="S5" s="4">
        <f>(25%*(J5+K5)+8%*L5+12%*M5)/O5</f>
        <v/>
      </c>
      <c r="T5" s="2">
        <f>IF(P5&lt;=25%,"通过","不通过")</f>
        <v/>
      </c>
      <c r="U5" s="2">
        <f>IF(Q5&lt;=45%,"通过","不通过")</f>
        <v/>
      </c>
      <c r="V5" s="2">
        <f>IF(R5&gt;=300000,"通过","不通过")</f>
        <v/>
      </c>
      <c r="W5" s="2">
        <f>IF(S5&lt;=12%,"通过","不通过")</f>
        <v/>
      </c>
      <c r="X5" s="2" t="inlineStr">
        <is>
          <t>若跌停、盘口不足或委托未成交，则不把委托计入现金</t>
        </is>
      </c>
    </row>
    <row r="6">
      <c r="A6" s="2" t="inlineStr">
        <is>
          <t>只卖盈利后新能源再跌5%</t>
        </is>
      </c>
      <c r="B6" s="2" t="inlineStr">
        <is>
          <t>次日</t>
        </is>
      </c>
      <c r="C6" s="2" t="n">
        <v>0</v>
      </c>
      <c r="D6" s="2" t="n">
        <v>0</v>
      </c>
      <c r="E6" s="2" t="n">
        <v>30000</v>
      </c>
      <c r="F6" s="2" t="n">
        <v>0</v>
      </c>
      <c r="G6" s="2" t="n">
        <v>0.95</v>
      </c>
      <c r="H6" s="3">
        <f>IF(C6&gt;0,MAX(5,C6*25*0.08%),0)+IF(D6&gt;0,MAX(5,D6*30*0.08%),0)+IF(E6&gt;0,MAX(5,E6*10*0.08%),0)+IF(F6&gt;0,MAX(5,F6*3*0.03%),0)</f>
        <v/>
      </c>
      <c r="I6" s="3">
        <f>C6*25+D6*30+E6*10+F6*3-H6</f>
        <v/>
      </c>
      <c r="J6" s="3">
        <f>(20000-C6)*25*G6</f>
        <v/>
      </c>
      <c r="K6" s="3">
        <f>(20000-D6)*30*G6</f>
        <v/>
      </c>
      <c r="L6" s="3">
        <f>(30000-E6)*10</f>
        <v/>
      </c>
      <c r="M6" s="3">
        <f>(120000-F6)*3</f>
        <v/>
      </c>
      <c r="N6" s="3">
        <f>230000+I6</f>
        <v/>
      </c>
      <c r="O6" s="3">
        <f>SUM(J6:N6)</f>
        <v/>
      </c>
      <c r="P6" s="4">
        <f>MAX(J6:M6)/O6</f>
        <v/>
      </c>
      <c r="Q6" s="4">
        <f>(J6+K6)/O6</f>
        <v/>
      </c>
      <c r="R6" s="3">
        <f>N6</f>
        <v/>
      </c>
      <c r="S6" s="4">
        <f>(25%*(J6+K6)+8%*L6+12%*M6)/O6</f>
        <v/>
      </c>
      <c r="T6" s="2">
        <f>IF(P6&lt;=25%,"通过","不通过")</f>
        <v/>
      </c>
      <c r="U6" s="2">
        <f>IF(Q6&lt;=45%,"通过","不通过")</f>
        <v/>
      </c>
      <c r="V6" s="2">
        <f>IF(R6&gt;=300000,"通过","不通过")</f>
        <v/>
      </c>
      <c r="W6" s="2">
        <f>IF(S6&lt;=12%,"通过","不通过")</f>
        <v/>
      </c>
      <c r="X6" s="2" t="inlineStr">
        <is>
          <t>以今日只卖盈利方案剩余持仓为起点，先计新能源-5%；无新增交易费用</t>
        </is>
      </c>
    </row>
    <row r="7">
      <c r="A7" s="2" t="inlineStr">
        <is>
          <t>风险减仓后新能源再跌5%</t>
        </is>
      </c>
      <c r="B7" s="2" t="inlineStr">
        <is>
          <t>次日</t>
        </is>
      </c>
      <c r="C7" s="2" t="n">
        <v>12000</v>
      </c>
      <c r="D7" s="2" t="n">
        <v>3800</v>
      </c>
      <c r="E7" s="2" t="n">
        <v>0</v>
      </c>
      <c r="F7" s="2" t="n">
        <v>0</v>
      </c>
      <c r="G7" s="2" t="n">
        <v>0.95</v>
      </c>
      <c r="H7" s="3">
        <f>IF(C7&gt;0,MAX(5,C7*25*0.08%),0)+IF(D7&gt;0,MAX(5,D7*30*0.08%),0)+IF(E7&gt;0,MAX(5,E7*10*0.08%),0)+IF(F7&gt;0,MAX(5,F7*3*0.03%),0)</f>
        <v/>
      </c>
      <c r="I7" s="3">
        <f>C7*25+D7*30+E7*10+F7*3-H7</f>
        <v/>
      </c>
      <c r="J7" s="3">
        <f>(20000-C7)*25*G7</f>
        <v/>
      </c>
      <c r="K7" s="3">
        <f>(20000-D7)*30*G7</f>
        <v/>
      </c>
      <c r="L7" s="3">
        <f>(30000-E7)*10</f>
        <v/>
      </c>
      <c r="M7" s="3">
        <f>(120000-F7)*3</f>
        <v/>
      </c>
      <c r="N7" s="3">
        <f>230000+I7</f>
        <v/>
      </c>
      <c r="O7" s="3">
        <f>SUM(J7:N7)</f>
        <v/>
      </c>
      <c r="P7" s="4">
        <f>MAX(J7:M7)/O7</f>
        <v/>
      </c>
      <c r="Q7" s="4">
        <f>(J7+K7)/O7</f>
        <v/>
      </c>
      <c r="R7" s="3">
        <f>N7</f>
        <v/>
      </c>
      <c r="S7" s="4">
        <f>(25%*(J7+K7)+8%*L7+12%*M7)/O7</f>
        <v/>
      </c>
      <c r="T7" s="2">
        <f>IF(P7&lt;=25%,"通过","不通过")</f>
        <v/>
      </c>
      <c r="U7" s="2">
        <f>IF(Q7&lt;=45%,"通过","不通过")</f>
        <v/>
      </c>
      <c r="V7" s="2">
        <f>IF(R7&gt;=300000,"通过","不通过")</f>
        <v/>
      </c>
      <c r="W7" s="2">
        <f>IF(S7&lt;=12%,"通过","不通过")</f>
        <v/>
      </c>
      <c r="X7" s="2" t="inlineStr">
        <is>
          <t>以今日风险方案剩余持仓为起点，先计新能源-5%；无新增交易费用</t>
        </is>
      </c>
    </row>
    <row r="8">
      <c r="A8" s="2" t="inlineStr">
        <is>
          <t>保留EQ02一股不卖的边界</t>
        </is>
      </c>
      <c r="B8" s="2" t="inlineStr">
        <is>
          <t>今日</t>
        </is>
      </c>
      <c r="C8" s="2" t="n">
        <v>16600</v>
      </c>
      <c r="D8" s="2" t="n">
        <v>0</v>
      </c>
      <c r="E8" s="2" t="n">
        <v>0</v>
      </c>
      <c r="F8" s="2" t="n">
        <v>0</v>
      </c>
      <c r="G8" s="2" t="n">
        <v>1</v>
      </c>
      <c r="H8" s="3">
        <f>IF(C8&gt;0,MAX(5,C8*25*0.08%),0)+IF(D8&gt;0,MAX(5,D8*30*0.08%),0)+IF(E8&gt;0,MAX(5,E8*10*0.08%),0)+IF(F8&gt;0,MAX(5,F8*3*0.03%),0)</f>
        <v/>
      </c>
      <c r="I8" s="3">
        <f>C8*25+D8*30+E8*10+F8*3-H8</f>
        <v/>
      </c>
      <c r="J8" s="3">
        <f>(20000-C8)*25*G8</f>
        <v/>
      </c>
      <c r="K8" s="3">
        <f>(20000-D8)*30*G8</f>
        <v/>
      </c>
      <c r="L8" s="3">
        <f>(30000-E8)*10</f>
        <v/>
      </c>
      <c r="M8" s="3">
        <f>(120000-F8)*3</f>
        <v/>
      </c>
      <c r="N8" s="3">
        <f>230000+I8</f>
        <v/>
      </c>
      <c r="O8" s="3">
        <f>SUM(J8:N8)</f>
        <v/>
      </c>
      <c r="P8" s="4">
        <f>MAX(J8:M8)/O8</f>
        <v/>
      </c>
      <c r="Q8" s="4">
        <f>(J8+K8)/O8</f>
        <v/>
      </c>
      <c r="R8" s="3">
        <f>N8</f>
        <v/>
      </c>
      <c r="S8" s="4">
        <f>(25%*(J8+K8)+8%*L8+12%*M8)/O8</f>
        <v/>
      </c>
      <c r="T8" s="2">
        <f>IF(P8&lt;=25%,"通过","不通过")</f>
        <v/>
      </c>
      <c r="U8" s="2">
        <f>IF(Q8&lt;=45%,"通过","不通过")</f>
        <v/>
      </c>
      <c r="V8" s="2">
        <f>IF(R8&gt;=300000,"通过","不通过")</f>
        <v/>
      </c>
      <c r="W8" s="2">
        <f>IF(S8&lt;=12%,"通过","不通过")</f>
        <v/>
      </c>
      <c r="X8" s="2" t="inlineStr">
        <is>
          <t>EQ02完全保留时，新能源/现金/联动可修复，但单股约30.16%仍失败；至少正式放宽单股上限或卖EQ02</t>
        </is>
      </c>
    </row>
    <row r="9">
      <c r="A9" s="2" t="inlineStr">
        <is>
          <t>次日追加纪律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>
        <is>
          <t>若次日新能源再跌5%后任一硬约束失败，则先按新报价、可卖数和费用完整复算；未复核前不新增证券、不提高风险预算。</t>
        </is>
      </c>
    </row>
    <row r="10">
      <c r="A10" s="2" t="inlineStr">
        <is>
          <t>未成交纪律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若今日委托未成交、跌停或盘口不足，则条件未成立，因此未执行；次日开盘前复核价格、涨跌停、可卖数和盘口。</t>
        </is>
      </c>
    </row>
    <row r="11">
      <c r="A11" s="2" t="inlineStr">
        <is>
          <t>当日买入纪律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EQ02今日买入4,000股今日不可卖；只从旧批次16,000股可卖量中安排3,800股。</t>
        </is>
      </c>
    </row>
  </sheetData>
  <autoFilter ref="A1:X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主题</t>
        </is>
      </c>
      <c r="B1" s="1" t="inlineStr">
        <is>
          <t>可直接使用的沟通文字</t>
        </is>
      </c>
    </row>
    <row r="2" ht="80" customHeight="1">
      <c r="A2" s="2" t="inlineStr">
        <is>
          <t>结论先行</t>
        </is>
      </c>
      <c r="B2" s="2" t="inlineStr">
        <is>
          <t>按14:30明细，采用净资产为1,990,000元，而不是13:00汇总页2,030,000元。两者相差40,000元，正好来自光伏和电池各持20,000股、价格各下降1元。现金230,000元已经反映上午买入电池股4,000股的122,000元支出，不再重复扣减。</t>
        </is>
      </c>
    </row>
    <row r="3" ht="80" customHeight="1">
      <c r="A3" s="2" t="inlineStr">
        <is>
          <t>为什么不能只卖赚钱的公用事业</t>
        </is>
      </c>
      <c r="B3" s="2" t="inlineStr">
        <is>
          <t>若在报价、可卖数和盘口均正常时卖出全部30,000股公用事业，估计费用240元、净回款299,760元、现金529,760元；但剩余电池权重约30.15%、新能源合计约55.28%、联动情景损失率约15.99%，分别超过25%、45%和12%硬约束。因此“只卖盈利品种”不能恢复合规，账面盈亏不能替代组合风险排序。</t>
        </is>
      </c>
    </row>
    <row r="4" ht="80" customHeight="1">
      <c r="A4" s="2" t="inlineStr">
        <is>
          <t>建议的条件方案</t>
        </is>
      </c>
      <c r="B4" s="2" t="inlineStr">
        <is>
          <t>若EQ01和EQ02报价有效、未处跌停且盘口足以承接，同时今日可卖数分别不少于12,000股和3,800股，则提交“卖出EQ01 12,000股、卖出EQ02旧批次3,800股”的审批。按14:30买一价测算，合计名义金额414,000元，费用331.20元，净回款413,668.80元，交易后现金643,668.80元、EQ01余8,000股、EQ02余16,200股；四项约束均通过。该方案不是成交承诺。</t>
        </is>
      </c>
    </row>
    <row r="5" ht="80" customHeight="1">
      <c r="A5" s="2" t="inlineStr">
        <is>
          <t>保留电池股的边界</t>
        </is>
      </c>
      <c r="B5" s="2" t="inlineStr">
        <is>
          <t>若客户坚持EQ02一股不卖，在不增加资金且不加杠杆时，卖出其他资产不能降低EQ02的600,000元市值，扣费后其权重仍约30.16%，因此25%单股上限必然卡住。作为约束证明：即使另卖EQ01约16,600股使新能源与联动损失回到阈值内，也至少须由正式风险例外把单股上限从25%放宽到不低于约30.16%（并留出费用/价格缓冲）；若不批准该例外，就必须卖出部分EQ02。仅卖公用事业则单股、新能源和联动损失三项均不通过。未经书面审批，不默许提高风险预算，也不继续补电池股。</t>
        </is>
      </c>
    </row>
    <row r="6" ht="80" customHeight="1">
      <c r="A6" s="2" t="inlineStr">
        <is>
          <t>未成交与跌停</t>
        </is>
      </c>
      <c r="B6" s="2" t="inlineStr">
        <is>
          <t>若任一拟卖标的跌停、无有效买盘、报价失效、可卖数不足或盘口不足，则条件未成立，因此未执行；不得把委托数量提前计入现金。下一次复核为9月9日开盘前及获得有效盘口后。</t>
        </is>
      </c>
    </row>
    <row r="7" ht="80" customHeight="1">
      <c r="A7" s="2" t="inlineStr">
        <is>
          <t>次日新能源再跌5%</t>
        </is>
      </c>
      <c r="B7" s="2" t="inlineStr">
        <is>
          <t>若今日风险方案按测算完成，次日新能源再下跌5%且其他价格不变，则先以该跌幅后的持仓市值加现金重算分母，再计算联动冲击；测算仍通过四项约束。若实际价格或成交费用不同，则以附件同口径重新复算后再决定，不把5%跌幅重复计入联动冲击。</t>
        </is>
      </c>
    </row>
    <row r="8" ht="80" customHeight="1">
      <c r="A8" s="2" t="inlineStr">
        <is>
          <t>重新评估触发器</t>
        </is>
      </c>
      <c r="B8" s="2" t="inlineStr">
        <is>
          <t>若价格变化使单股权重超过25%、新能源超过45%、现金低于300,000元或联动情景损失超过12%，则暂停新增风险并重新提交减仓方案；若约束均满足，则保留剩余敞口并在次日收盘复核。全程不增加外部资金、不加杠杆、不代下单、不承诺回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2026-09-11T06:35:24Z</dcterms:created>
  <dcterms:modified xmlns:dcterms="http://purl.org/dc/terms/" xmlns:xsi="http://www.w3.org/2001/XMLSchema-instance" xsi:type="dcterms:W3CDTF">2026-09-11T06:39:22Z</dcterms:modified>
</cp:coreProperties>
</file>