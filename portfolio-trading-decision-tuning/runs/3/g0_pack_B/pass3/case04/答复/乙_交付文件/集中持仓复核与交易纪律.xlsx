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整与情景测算" sheetId="1" state="visible" r:id="rId1"/>
    <sheet xmlns:r="http://schemas.openxmlformats.org/officeDocument/2006/relationships" name="账户核对" sheetId="2" state="visible" r:id="rId2"/>
    <sheet xmlns:r="http://schemas.openxmlformats.org/officeDocument/2006/relationships" name="客户沟通说明" sheetId="3" state="visible" r:id="rId3"/>
    <sheet xmlns:r="http://schemas.openxmlformats.org/officeDocument/2006/relationships" name="规则与自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;[Red]-#,##0"/>
  </numFmts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color rgb="00555555"/>
      <sz val="9"/>
    </font>
    <font>
      <name val="微软雅黑"/>
      <b val="1"/>
      <color rgb="00C00000"/>
      <sz val="11"/>
    </font>
    <font>
      <name val="微软雅黑"/>
      <b val="1"/>
      <color rgb="00305496"/>
      <sz val="1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1" applyAlignment="1" pivotButton="0" quotePrefix="0" xfId="0">
      <alignment horizontal="right" vertical="center"/>
    </xf>
    <xf numFmtId="0" fontId="5" fillId="0" borderId="1" pivotButton="0" quotePrefix="0" xfId="0"/>
    <xf numFmtId="0" fontId="4" fillId="4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3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3" fontId="0" fillId="0" borderId="1" pivotButton="0" quotePrefix="0" xfId="0"/>
    <xf numFmtId="10" fontId="4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165" fontId="0" fillId="0" borderId="1" pivotButton="0" quotePrefix="0" xfId="0"/>
    <xf numFmtId="3" fontId="4" fillId="3" borderId="1" pivotButton="0" quotePrefix="0" xfId="0"/>
    <xf numFmtId="165" fontId="4" fillId="0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调整与情景测算（浅黄=输入区，来自交接资料；其余为公式，改输入即自动重算）</t>
        </is>
      </c>
    </row>
    <row r="4">
      <c r="A4" s="2" t="inlineStr">
        <is>
          <t>【输入区】项目</t>
        </is>
      </c>
      <c r="B4" s="2" t="inlineStr">
        <is>
          <t>数值</t>
        </is>
      </c>
      <c r="C4" s="2" t="inlineStr">
        <is>
          <t>说明</t>
        </is>
      </c>
    </row>
    <row r="5">
      <c r="A5" s="3" t="inlineStr">
        <is>
          <t>现价_光伏</t>
        </is>
      </c>
      <c r="B5" s="4" t="n">
        <v>25</v>
      </c>
      <c r="C5" s="5" t="inlineStr">
        <is>
          <t>元/股 14:30买一价</t>
        </is>
      </c>
    </row>
    <row r="6">
      <c r="A6" s="3" t="inlineStr">
        <is>
          <t>现价_电池</t>
        </is>
      </c>
      <c r="B6" s="4" t="n">
        <v>30</v>
      </c>
      <c r="C6" s="5" t="inlineStr">
        <is>
          <t>元/股 14:30买一价</t>
        </is>
      </c>
    </row>
    <row r="7">
      <c r="A7" s="3" t="inlineStr">
        <is>
          <t>现价_公用事业</t>
        </is>
      </c>
      <c r="B7" s="4" t="n">
        <v>10</v>
      </c>
      <c r="C7" s="5" t="inlineStr">
        <is>
          <t>元/股 14:30买一价</t>
        </is>
      </c>
    </row>
    <row r="8">
      <c r="A8" s="3" t="inlineStr">
        <is>
          <t>现价_宽基ETF</t>
        </is>
      </c>
      <c r="B8" s="4" t="n">
        <v>3</v>
      </c>
      <c r="C8" s="5" t="inlineStr">
        <is>
          <t>元/份 14:30买一价</t>
        </is>
      </c>
    </row>
    <row r="9">
      <c r="A9" s="3" t="inlineStr">
        <is>
          <t>数量_光伏</t>
        </is>
      </c>
      <c r="B9" s="4" t="n">
        <v>20000</v>
      </c>
      <c r="C9" s="5" t="inlineStr">
        <is>
          <t>股</t>
        </is>
      </c>
    </row>
    <row r="10">
      <c r="A10" s="3" t="inlineStr">
        <is>
          <t>数量_电池_旧批</t>
        </is>
      </c>
      <c r="B10" s="4" t="n">
        <v>16000</v>
      </c>
      <c r="C10" s="5" t="inlineStr">
        <is>
          <t>股 今日可卖</t>
        </is>
      </c>
    </row>
    <row r="11">
      <c r="A11" s="3" t="inlineStr">
        <is>
          <t>数量_电池_新批</t>
        </is>
      </c>
      <c r="B11" s="4" t="n">
        <v>4000</v>
      </c>
      <c r="C11" s="5" t="inlineStr">
        <is>
          <t>股 10:12买入今日不可卖</t>
        </is>
      </c>
    </row>
    <row r="12">
      <c r="A12" s="3" t="inlineStr">
        <is>
          <t>数量_公用事业</t>
        </is>
      </c>
      <c r="B12" s="4" t="n">
        <v>30000</v>
      </c>
      <c r="C12" s="5" t="inlineStr">
        <is>
          <t>股</t>
        </is>
      </c>
    </row>
    <row r="13">
      <c r="A13" s="3" t="inlineStr">
        <is>
          <t>数量_宽基ETF</t>
        </is>
      </c>
      <c r="B13" s="4" t="n">
        <v>120000</v>
      </c>
      <c r="C13" s="5" t="inlineStr">
        <is>
          <t>份</t>
        </is>
      </c>
    </row>
    <row r="14">
      <c r="A14" s="3" t="inlineStr">
        <is>
          <t>成本_光伏</t>
        </is>
      </c>
      <c r="B14" s="4" t="n">
        <v>600000</v>
      </c>
      <c r="C14" s="5" t="inlineStr">
        <is>
          <t>元</t>
        </is>
      </c>
    </row>
    <row r="15">
      <c r="A15" s="3" t="inlineStr">
        <is>
          <t>成本_电池_旧批</t>
        </is>
      </c>
      <c r="B15" s="4" t="n">
        <v>560000</v>
      </c>
      <c r="C15" s="5" t="inlineStr">
        <is>
          <t>元</t>
        </is>
      </c>
    </row>
    <row r="16">
      <c r="A16" s="3" t="inlineStr">
        <is>
          <t>成本_电池_新批</t>
        </is>
      </c>
      <c r="B16" s="4" t="n">
        <v>122000</v>
      </c>
      <c r="C16" s="5" t="inlineStr">
        <is>
          <t>元 已从现金扣除</t>
        </is>
      </c>
    </row>
    <row r="17">
      <c r="A17" s="3" t="inlineStr">
        <is>
          <t>成本_公用事业</t>
        </is>
      </c>
      <c r="B17" s="4" t="n">
        <v>240000</v>
      </c>
      <c r="C17" s="5" t="inlineStr">
        <is>
          <t>元</t>
        </is>
      </c>
    </row>
    <row r="18">
      <c r="A18" s="3" t="inlineStr">
        <is>
          <t>成本_宽基ETF</t>
        </is>
      </c>
      <c r="B18" s="4" t="n">
        <v>336000</v>
      </c>
      <c r="C18" s="5" t="inlineStr">
        <is>
          <t>元</t>
        </is>
      </c>
    </row>
    <row r="19">
      <c r="A19" s="3" t="inlineStr">
        <is>
          <t>现金_1430</t>
        </is>
      </c>
      <c r="B19" s="4" t="n">
        <v>230000</v>
      </c>
      <c r="C19" s="5" t="inlineStr">
        <is>
          <t>元</t>
        </is>
      </c>
    </row>
    <row r="20">
      <c r="A20" s="3" t="inlineStr">
        <is>
          <t>费率_股票</t>
        </is>
      </c>
      <c r="B20" s="4" t="n">
        <v>0.0008</v>
      </c>
      <c r="C20" s="5" t="inlineStr">
        <is>
          <t>成交额比例 最低5元</t>
        </is>
      </c>
    </row>
    <row r="21">
      <c r="A21" s="3" t="inlineStr">
        <is>
          <t>费率_ETF</t>
        </is>
      </c>
      <c r="B21" s="4" t="n">
        <v>0.0003</v>
      </c>
      <c r="C21" s="5" t="inlineStr">
        <is>
          <t>成交额比例 最低5元</t>
        </is>
      </c>
    </row>
    <row r="22">
      <c r="A22" s="3" t="inlineStr">
        <is>
          <t>最低费用</t>
        </is>
      </c>
      <c r="B22" s="4" t="n">
        <v>5</v>
      </c>
      <c r="C22" s="5" t="inlineStr">
        <is>
          <t>元</t>
        </is>
      </c>
    </row>
    <row r="23">
      <c r="A23" s="3" t="inlineStr">
        <is>
          <t>冲击_光伏</t>
        </is>
      </c>
      <c r="B23" s="4" t="n">
        <v>0.25</v>
      </c>
      <c r="C23" s="5" t="inlineStr">
        <is>
          <t>联动跌幅</t>
        </is>
      </c>
    </row>
    <row r="24">
      <c r="A24" s="3" t="inlineStr">
        <is>
          <t>冲击_电池</t>
        </is>
      </c>
      <c r="B24" s="4" t="n">
        <v>0.25</v>
      </c>
      <c r="C24" s="5" t="inlineStr">
        <is>
          <t>联动跌幅</t>
        </is>
      </c>
    </row>
    <row r="25">
      <c r="A25" s="3" t="inlineStr">
        <is>
          <t>冲击_公用</t>
        </is>
      </c>
      <c r="B25" s="4" t="n">
        <v>0.08</v>
      </c>
      <c r="C25" s="5" t="inlineStr">
        <is>
          <t>联动跌幅</t>
        </is>
      </c>
    </row>
    <row r="26">
      <c r="A26" s="3" t="inlineStr">
        <is>
          <t>冲击_ETF</t>
        </is>
      </c>
      <c r="B26" s="4" t="n">
        <v>0.12</v>
      </c>
      <c r="C26" s="5" t="inlineStr">
        <is>
          <t>联动跌幅</t>
        </is>
      </c>
    </row>
    <row r="27">
      <c r="A27" s="3" t="inlineStr">
        <is>
          <t>上限_单票</t>
        </is>
      </c>
      <c r="B27" s="4" t="n">
        <v>0.25</v>
      </c>
      <c r="C27" s="5" t="inlineStr">
        <is>
          <t>净资产比例</t>
        </is>
      </c>
    </row>
    <row r="28">
      <c r="A28" s="3" t="inlineStr">
        <is>
          <t>上限_新能源</t>
        </is>
      </c>
      <c r="B28" s="4" t="n">
        <v>0.45</v>
      </c>
      <c r="C28" s="5" t="inlineStr">
        <is>
          <t>净资产比例</t>
        </is>
      </c>
    </row>
    <row r="29">
      <c r="A29" s="3" t="inlineStr">
        <is>
          <t>下限_现金</t>
        </is>
      </c>
      <c r="B29" s="4" t="n">
        <v>300000</v>
      </c>
      <c r="C29" s="5" t="inlineStr">
        <is>
          <t>元</t>
        </is>
      </c>
    </row>
    <row r="30">
      <c r="A30" s="3" t="inlineStr">
        <is>
          <t>上限_损失率</t>
        </is>
      </c>
      <c r="B30" s="4" t="n">
        <v>0.12</v>
      </c>
      <c r="C30" s="5" t="inlineStr">
        <is>
          <t>净资产比例</t>
        </is>
      </c>
    </row>
    <row r="32">
      <c r="A32" s="6" t="inlineStr">
        <is>
          <t>【各方案】交易后剩余持仓（浅黄可改；卖出=总量-剩余）</t>
        </is>
      </c>
    </row>
    <row r="33">
      <c r="A33" s="2" t="inlineStr">
        <is>
          <t>品种</t>
        </is>
      </c>
      <c r="B33" s="2" t="inlineStr">
        <is>
          <t>未调整</t>
        </is>
      </c>
      <c r="C33" s="2" t="inlineStr">
        <is>
          <t>方案A 只卖盈利公用</t>
        </is>
      </c>
      <c r="D33" s="2" t="inlineStr">
        <is>
          <t>方案A2 卖全部盈利品种</t>
        </is>
      </c>
      <c r="E33" s="2" t="inlineStr">
        <is>
          <t>方案B 按风险减仓</t>
        </is>
      </c>
    </row>
    <row r="34">
      <c r="A34" s="3" t="inlineStr">
        <is>
          <t>光伏(股)</t>
        </is>
      </c>
      <c r="B34" s="7" t="n">
        <v>20000</v>
      </c>
      <c r="C34" s="7" t="n">
        <v>20000</v>
      </c>
      <c r="D34" s="7" t="n">
        <v>20000</v>
      </c>
      <c r="E34" s="7" t="n">
        <v>7600</v>
      </c>
    </row>
    <row r="35">
      <c r="A35" s="3" t="inlineStr">
        <is>
          <t>电池合计(股)</t>
        </is>
      </c>
      <c r="B35" s="7" t="n">
        <v>20000</v>
      </c>
      <c r="C35" s="7" t="n">
        <v>20000</v>
      </c>
      <c r="D35" s="7" t="n">
        <v>20000</v>
      </c>
      <c r="E35" s="7" t="n">
        <v>16500</v>
      </c>
    </row>
    <row r="36">
      <c r="A36" s="3" t="inlineStr">
        <is>
          <t>公用事业(股)</t>
        </is>
      </c>
      <c r="B36" s="7" t="n">
        <v>30000</v>
      </c>
      <c r="C36" s="7" t="n">
        <v>0</v>
      </c>
      <c r="D36" s="7" t="n">
        <v>0</v>
      </c>
      <c r="E36" s="7" t="n">
        <v>30000</v>
      </c>
    </row>
    <row r="37">
      <c r="A37" s="3" t="inlineStr">
        <is>
          <t>宽基ETF(份)</t>
        </is>
      </c>
      <c r="B37" s="7" t="n">
        <v>120000</v>
      </c>
      <c r="C37" s="7" t="n">
        <v>120000</v>
      </c>
      <c r="D37" s="7" t="n">
        <v>0</v>
      </c>
      <c r="E37" s="7" t="n">
        <v>120000</v>
      </c>
    </row>
    <row r="38">
      <c r="A38" s="8" t="inlineStr">
        <is>
          <t>光伏 卖出(股)</t>
        </is>
      </c>
      <c r="B38" s="9">
        <f>$B$9-B34</f>
        <v/>
      </c>
      <c r="C38" s="9">
        <f>$B$9-C34</f>
        <v/>
      </c>
      <c r="D38" s="9">
        <f>$B$9-D34</f>
        <v/>
      </c>
      <c r="E38" s="9">
        <f>$B$9-E34</f>
        <v/>
      </c>
    </row>
    <row r="39">
      <c r="A39" s="8" t="inlineStr">
        <is>
          <t>电池旧批 卖出(股)</t>
        </is>
      </c>
      <c r="B39" s="9">
        <f>($B$10+$B$11)-B35</f>
        <v/>
      </c>
      <c r="C39" s="9">
        <f>($B$10+$B$11)-C35</f>
        <v/>
      </c>
      <c r="D39" s="9">
        <f>($B$10+$B$11)-D35</f>
        <v/>
      </c>
      <c r="E39" s="9">
        <f>($B$10+$B$11)-E35</f>
        <v/>
      </c>
    </row>
    <row r="40">
      <c r="A40" s="8" t="inlineStr">
        <is>
          <t>公用 卖出(股)</t>
        </is>
      </c>
      <c r="B40" s="9">
        <f>$B$12-B36</f>
        <v/>
      </c>
      <c r="C40" s="9">
        <f>$B$12-C36</f>
        <v/>
      </c>
      <c r="D40" s="9">
        <f>$B$12-D36</f>
        <v/>
      </c>
      <c r="E40" s="9">
        <f>$B$12-E36</f>
        <v/>
      </c>
    </row>
    <row r="41">
      <c r="A41" s="8" t="inlineStr">
        <is>
          <t>宽基ETF 卖出(份)</t>
        </is>
      </c>
      <c r="B41" s="9">
        <f>$B$13-B37</f>
        <v/>
      </c>
      <c r="C41" s="9">
        <f>$B$13-C37</f>
        <v/>
      </c>
      <c r="D41" s="9">
        <f>$B$13-D37</f>
        <v/>
      </c>
      <c r="E41" s="9">
        <f>$B$13-E37</f>
        <v/>
      </c>
    </row>
    <row r="42">
      <c r="A42" s="8" t="inlineStr">
        <is>
          <t>光伏 成交额</t>
        </is>
      </c>
      <c r="B42" s="9">
        <f>B38*$B$5</f>
        <v/>
      </c>
      <c r="C42" s="9">
        <f>C38*$B$5</f>
        <v/>
      </c>
      <c r="D42" s="9">
        <f>D38*$B$5</f>
        <v/>
      </c>
      <c r="E42" s="9">
        <f>E38*$B$5</f>
        <v/>
      </c>
    </row>
    <row r="43">
      <c r="A43" s="8" t="inlineStr">
        <is>
          <t>电池 成交额</t>
        </is>
      </c>
      <c r="B43" s="9">
        <f>B39*$B$6</f>
        <v/>
      </c>
      <c r="C43" s="9">
        <f>C39*$B$6</f>
        <v/>
      </c>
      <c r="D43" s="9">
        <f>D39*$B$6</f>
        <v/>
      </c>
      <c r="E43" s="9">
        <f>E39*$B$6</f>
        <v/>
      </c>
    </row>
    <row r="44">
      <c r="A44" s="8" t="inlineStr">
        <is>
          <t>公用 成交额</t>
        </is>
      </c>
      <c r="B44" s="9">
        <f>B40*$B$7</f>
        <v/>
      </c>
      <c r="C44" s="9">
        <f>C40*$B$7</f>
        <v/>
      </c>
      <c r="D44" s="9">
        <f>D40*$B$7</f>
        <v/>
      </c>
      <c r="E44" s="9">
        <f>E40*$B$7</f>
        <v/>
      </c>
    </row>
    <row r="45">
      <c r="A45" s="8" t="inlineStr">
        <is>
          <t>ETF 成交额</t>
        </is>
      </c>
      <c r="B45" s="9">
        <f>B41*$B$8</f>
        <v/>
      </c>
      <c r="C45" s="9">
        <f>C41*$B$8</f>
        <v/>
      </c>
      <c r="D45" s="9">
        <f>D41*$B$8</f>
        <v/>
      </c>
      <c r="E45" s="9">
        <f>E41*$B$8</f>
        <v/>
      </c>
    </row>
    <row r="46">
      <c r="A46" s="8" t="inlineStr">
        <is>
          <t>股票费用(逐品种max5)</t>
        </is>
      </c>
      <c r="B46" s="10">
        <f>IF(B42&gt;0,MAX($B$22,$B$20*B42),0)+IF(B43&gt;0,MAX($B$22,$B$20*B43),0)+IF(B44&gt;0,MAX($B$22,$B$20*B44),0)</f>
        <v/>
      </c>
      <c r="C46" s="10">
        <f>IF(C42&gt;0,MAX($B$22,$B$20*C42),0)+IF(C43&gt;0,MAX($B$22,$B$20*C43),0)+IF(C44&gt;0,MAX($B$22,$B$20*C44),0)</f>
        <v/>
      </c>
      <c r="D46" s="10">
        <f>IF(D42&gt;0,MAX($B$22,$B$20*D42),0)+IF(D43&gt;0,MAX($B$22,$B$20*D43),0)+IF(D44&gt;0,MAX($B$22,$B$20*D44),0)</f>
        <v/>
      </c>
      <c r="E46" s="10">
        <f>IF(E42&gt;0,MAX($B$22,$B$20*E42),0)+IF(E43&gt;0,MAX($B$22,$B$20*E43),0)+IF(E44&gt;0,MAX($B$22,$B$20*E44),0)</f>
        <v/>
      </c>
    </row>
    <row r="47">
      <c r="A47" s="8" t="inlineStr">
        <is>
          <t>ETF费用</t>
        </is>
      </c>
      <c r="B47" s="10">
        <f>IF(B45&gt;0,MAX($B$22,$B$21*B45),0)</f>
        <v/>
      </c>
      <c r="C47" s="10">
        <f>IF(C45&gt;0,MAX($B$22,$B$21*C45),0)</f>
        <v/>
      </c>
      <c r="D47" s="10">
        <f>IF(D45&gt;0,MAX($B$22,$B$21*D45),0)</f>
        <v/>
      </c>
      <c r="E47" s="10">
        <f>IF(E45&gt;0,MAX($B$22,$B$21*E45),0)</f>
        <v/>
      </c>
    </row>
    <row r="48">
      <c r="A48" s="11" t="inlineStr">
        <is>
          <t>费用合计</t>
        </is>
      </c>
      <c r="B48" s="12">
        <f>B46+B47</f>
        <v/>
      </c>
      <c r="C48" s="12">
        <f>C46+C47</f>
        <v/>
      </c>
      <c r="D48" s="12">
        <f>D46+D47</f>
        <v/>
      </c>
      <c r="E48" s="12">
        <f>E46+E47</f>
        <v/>
      </c>
    </row>
    <row r="49">
      <c r="A49" s="8" t="inlineStr">
        <is>
          <t>成交后现金</t>
        </is>
      </c>
      <c r="B49" s="9">
        <f>$B$19+B42+B43+B44+B45-B48</f>
        <v/>
      </c>
      <c r="C49" s="9">
        <f>$B$19+C42+C43+C44+C45-C48</f>
        <v/>
      </c>
      <c r="D49" s="9">
        <f>$B$19+D42+D43+D44+D45-D48</f>
        <v/>
      </c>
      <c r="E49" s="9">
        <f>$B$19+E42+E43+E44+E45-E48</f>
        <v/>
      </c>
    </row>
    <row r="50">
      <c r="A50" s="8" t="inlineStr">
        <is>
          <t>剩余光伏市值</t>
        </is>
      </c>
      <c r="B50" s="9">
        <f>B34*$B$5</f>
        <v/>
      </c>
      <c r="C50" s="9">
        <f>C34*$B$5</f>
        <v/>
      </c>
      <c r="D50" s="9">
        <f>D34*$B$5</f>
        <v/>
      </c>
      <c r="E50" s="9">
        <f>E34*$B$5</f>
        <v/>
      </c>
    </row>
    <row r="51">
      <c r="A51" s="8" t="inlineStr">
        <is>
          <t>剩余电池市值</t>
        </is>
      </c>
      <c r="B51" s="9">
        <f>B35*$B$6</f>
        <v/>
      </c>
      <c r="C51" s="9">
        <f>C35*$B$6</f>
        <v/>
      </c>
      <c r="D51" s="9">
        <f>D35*$B$6</f>
        <v/>
      </c>
      <c r="E51" s="9">
        <f>E35*$B$6</f>
        <v/>
      </c>
    </row>
    <row r="52">
      <c r="A52" s="8" t="inlineStr">
        <is>
          <t>剩余公用市值</t>
        </is>
      </c>
      <c r="B52" s="9">
        <f>B36*$B$7</f>
        <v/>
      </c>
      <c r="C52" s="9">
        <f>C36*$B$7</f>
        <v/>
      </c>
      <c r="D52" s="9">
        <f>D36*$B$7</f>
        <v/>
      </c>
      <c r="E52" s="9">
        <f>E36*$B$7</f>
        <v/>
      </c>
    </row>
    <row r="53">
      <c r="A53" s="8" t="inlineStr">
        <is>
          <t>剩余ETF市值</t>
        </is>
      </c>
      <c r="B53" s="9">
        <f>B37*$B$8</f>
        <v/>
      </c>
      <c r="C53" s="9">
        <f>C37*$B$8</f>
        <v/>
      </c>
      <c r="D53" s="9">
        <f>D37*$B$8</f>
        <v/>
      </c>
      <c r="E53" s="9">
        <f>E37*$B$8</f>
        <v/>
      </c>
    </row>
    <row r="54">
      <c r="A54" s="11" t="inlineStr">
        <is>
          <t>成交后净资产 D</t>
        </is>
      </c>
      <c r="B54" s="13">
        <f>B49+B50+B51+B52+B53</f>
        <v/>
      </c>
      <c r="C54" s="13">
        <f>C49+C50+C51+C52+C53</f>
        <v/>
      </c>
      <c r="D54" s="13">
        <f>D49+D50+D51+D52+D53</f>
        <v/>
      </c>
      <c r="E54" s="13">
        <f>E49+E50+E51+E52+E53</f>
        <v/>
      </c>
    </row>
    <row r="55">
      <c r="A55" s="8" t="inlineStr">
        <is>
          <t>光伏 权重</t>
        </is>
      </c>
      <c r="B55" s="14">
        <f>B50/B54</f>
        <v/>
      </c>
      <c r="C55" s="14">
        <f>C50/C54</f>
        <v/>
      </c>
      <c r="D55" s="14">
        <f>D50/D54</f>
        <v/>
      </c>
      <c r="E55" s="14">
        <f>E50/E54</f>
        <v/>
      </c>
    </row>
    <row r="56">
      <c r="A56" s="8" t="inlineStr">
        <is>
          <t>电池 权重</t>
        </is>
      </c>
      <c r="B56" s="14">
        <f>B51/B54</f>
        <v/>
      </c>
      <c r="C56" s="14">
        <f>C51/C54</f>
        <v/>
      </c>
      <c r="D56" s="14">
        <f>D51/D54</f>
        <v/>
      </c>
      <c r="E56" s="14">
        <f>E51/E54</f>
        <v/>
      </c>
    </row>
    <row r="57">
      <c r="A57" s="8" t="inlineStr">
        <is>
          <t>公用 权重</t>
        </is>
      </c>
      <c r="B57" s="14">
        <f>B52/B54</f>
        <v/>
      </c>
      <c r="C57" s="14">
        <f>C52/C54</f>
        <v/>
      </c>
      <c r="D57" s="14">
        <f>D52/D54</f>
        <v/>
      </c>
      <c r="E57" s="14">
        <f>E52/E54</f>
        <v/>
      </c>
    </row>
    <row r="58">
      <c r="A58" s="8" t="inlineStr">
        <is>
          <t>宽基ETF 权重</t>
        </is>
      </c>
      <c r="B58" s="14">
        <f>B53/B54</f>
        <v/>
      </c>
      <c r="C58" s="14">
        <f>C53/C54</f>
        <v/>
      </c>
      <c r="D58" s="14">
        <f>D53/D54</f>
        <v/>
      </c>
      <c r="E58" s="14">
        <f>E53/E54</f>
        <v/>
      </c>
    </row>
    <row r="59">
      <c r="A59" s="11" t="inlineStr">
        <is>
          <t>新能源(光伏+电池) 权重</t>
        </is>
      </c>
      <c r="B59" s="15">
        <f>(B50+B51)/B54</f>
        <v/>
      </c>
      <c r="C59" s="15">
        <f>(C50+C51)/C54</f>
        <v/>
      </c>
      <c r="D59" s="15">
        <f>(D50+D51)/D54</f>
        <v/>
      </c>
      <c r="E59" s="15">
        <f>(E50+E51)/E54</f>
        <v/>
      </c>
    </row>
    <row r="60">
      <c r="A60" s="8" t="inlineStr">
        <is>
          <t>现金 权重</t>
        </is>
      </c>
      <c r="B60" s="14">
        <f>B49/B54</f>
        <v/>
      </c>
      <c r="C60" s="14">
        <f>C49/C54</f>
        <v/>
      </c>
      <c r="D60" s="14">
        <f>D49/D54</f>
        <v/>
      </c>
      <c r="E60" s="14">
        <f>E49/E54</f>
        <v/>
      </c>
    </row>
    <row r="61">
      <c r="A61" s="8" t="inlineStr">
        <is>
          <t>权重合计 校验(应=100%)</t>
        </is>
      </c>
      <c r="B61" s="14">
        <f>(B49+B50+B51+B52+B53)/B54</f>
        <v/>
      </c>
      <c r="C61" s="14">
        <f>(C49+C50+C51+C52+C53)/C54</f>
        <v/>
      </c>
      <c r="D61" s="14">
        <f>(D49+D50+D51+D52+D53)/D54</f>
        <v/>
      </c>
      <c r="E61" s="14">
        <f>(E49+E50+E51+E52+E53)/E54</f>
        <v/>
      </c>
    </row>
    <row r="62">
      <c r="A62" s="8" t="inlineStr">
        <is>
          <t>光伏 冲击损失</t>
        </is>
      </c>
      <c r="B62" s="9">
        <f>B50*$B$23</f>
        <v/>
      </c>
      <c r="C62" s="9">
        <f>C50*$B$23</f>
        <v/>
      </c>
      <c r="D62" s="9">
        <f>D50*$B$23</f>
        <v/>
      </c>
      <c r="E62" s="9">
        <f>E50*$B$23</f>
        <v/>
      </c>
    </row>
    <row r="63">
      <c r="A63" s="8" t="inlineStr">
        <is>
          <t>电池 冲击损失</t>
        </is>
      </c>
      <c r="B63" s="9">
        <f>B51*$B$24</f>
        <v/>
      </c>
      <c r="C63" s="9">
        <f>C51*$B$24</f>
        <v/>
      </c>
      <c r="D63" s="9">
        <f>D51*$B$24</f>
        <v/>
      </c>
      <c r="E63" s="9">
        <f>E51*$B$24</f>
        <v/>
      </c>
    </row>
    <row r="64">
      <c r="A64" s="8" t="inlineStr">
        <is>
          <t>公用 冲击损失</t>
        </is>
      </c>
      <c r="B64" s="9">
        <f>B52*$B$25</f>
        <v/>
      </c>
      <c r="C64" s="9">
        <f>C52*$B$25</f>
        <v/>
      </c>
      <c r="D64" s="9">
        <f>D52*$B$25</f>
        <v/>
      </c>
      <c r="E64" s="9">
        <f>E52*$B$25</f>
        <v/>
      </c>
    </row>
    <row r="65">
      <c r="A65" s="8" t="inlineStr">
        <is>
          <t>ETF 冲击损失</t>
        </is>
      </c>
      <c r="B65" s="9">
        <f>B53*$B$26</f>
        <v/>
      </c>
      <c r="C65" s="9">
        <f>C53*$B$26</f>
        <v/>
      </c>
      <c r="D65" s="9">
        <f>D53*$B$26</f>
        <v/>
      </c>
      <c r="E65" s="9">
        <f>E53*$B$26</f>
        <v/>
      </c>
    </row>
    <row r="66">
      <c r="A66" s="11" t="inlineStr">
        <is>
          <t>冲击损失合计</t>
        </is>
      </c>
      <c r="B66" s="13">
        <f>B62+B63+B64+B65</f>
        <v/>
      </c>
      <c r="C66" s="13">
        <f>C62+C63+C64+C65</f>
        <v/>
      </c>
      <c r="D66" s="13">
        <f>D62+D63+D64+D65</f>
        <v/>
      </c>
      <c r="E66" s="13">
        <f>E62+E63+E64+E65</f>
        <v/>
      </c>
    </row>
    <row r="67">
      <c r="A67" s="11" t="inlineStr">
        <is>
          <t>联动损失率(÷D)</t>
        </is>
      </c>
      <c r="B67" s="15">
        <f>B66/B54</f>
        <v/>
      </c>
      <c r="C67" s="15">
        <f>C66/C54</f>
        <v/>
      </c>
      <c r="D67" s="15">
        <f>D66/D54</f>
        <v/>
      </c>
      <c r="E67" s="15">
        <f>E66/E54</f>
        <v/>
      </c>
    </row>
    <row r="68">
      <c r="A68" s="8" t="inlineStr">
        <is>
          <t>现金≥30万</t>
        </is>
      </c>
      <c r="B68" s="16">
        <f>IF(B49&gt;=$B$29,"达标","超限")</f>
        <v/>
      </c>
      <c r="C68" s="16">
        <f>IF(C49&gt;=$B$29,"达标","超限")</f>
        <v/>
      </c>
      <c r="D68" s="16">
        <f>IF(D49&gt;=$B$29,"达标","超限")</f>
        <v/>
      </c>
      <c r="E68" s="16">
        <f>IF(E49&gt;=$B$29,"达标","超限")</f>
        <v/>
      </c>
    </row>
    <row r="69">
      <c r="A69" s="8" t="inlineStr">
        <is>
          <t>光伏≤25%</t>
        </is>
      </c>
      <c r="B69" s="16">
        <f>IF(B55&lt;=$B$27,"达标","超限")</f>
        <v/>
      </c>
      <c r="C69" s="16">
        <f>IF(C55&lt;=$B$27,"达标","超限")</f>
        <v/>
      </c>
      <c r="D69" s="16">
        <f>IF(D55&lt;=$B$27,"达标","超限")</f>
        <v/>
      </c>
      <c r="E69" s="16">
        <f>IF(E55&lt;=$B$27,"达标","超限")</f>
        <v/>
      </c>
    </row>
    <row r="70">
      <c r="A70" s="8" t="inlineStr">
        <is>
          <t>电池≤25%</t>
        </is>
      </c>
      <c r="B70" s="16">
        <f>IF(B56&lt;=$B$27,"达标","超限")</f>
        <v/>
      </c>
      <c r="C70" s="16">
        <f>IF(C56&lt;=$B$27,"达标","超限")</f>
        <v/>
      </c>
      <c r="D70" s="16">
        <f>IF(D56&lt;=$B$27,"达标","超限")</f>
        <v/>
      </c>
      <c r="E70" s="16">
        <f>IF(E56&lt;=$B$27,"达标","超限")</f>
        <v/>
      </c>
    </row>
    <row r="71">
      <c r="A71" s="8" t="inlineStr">
        <is>
          <t>新能源≤45%</t>
        </is>
      </c>
      <c r="B71" s="16">
        <f>IF(B59&lt;=$B$28,"达标","超限")</f>
        <v/>
      </c>
      <c r="C71" s="16">
        <f>IF(C59&lt;=$B$28,"达标","超限")</f>
        <v/>
      </c>
      <c r="D71" s="16">
        <f>IF(D59&lt;=$B$28,"达标","超限")</f>
        <v/>
      </c>
      <c r="E71" s="16">
        <f>IF(E59&lt;=$B$28,"达标","超限")</f>
        <v/>
      </c>
    </row>
    <row r="72">
      <c r="A72" s="8" t="inlineStr">
        <is>
          <t>损失率≤12%</t>
        </is>
      </c>
      <c r="B72" s="16">
        <f>IF(B67&lt;=$B$30,"达标","超限")</f>
        <v/>
      </c>
      <c r="C72" s="16">
        <f>IF(C67&lt;=$B$30,"达标","超限")</f>
        <v/>
      </c>
      <c r="D72" s="16">
        <f>IF(D67&lt;=$B$30,"达标","超限")</f>
        <v/>
      </c>
      <c r="E72" s="16">
        <f>IF(E67&lt;=$B$30,"达标","超限")</f>
        <v/>
      </c>
    </row>
    <row r="74">
      <c r="A74" s="6" t="inlineStr">
        <is>
          <t>【⑦ PlanB 已实现盈亏（扣费后，元）】</t>
        </is>
      </c>
    </row>
    <row r="75">
      <c r="A75" s="3" t="inlineStr">
        <is>
          <t>光伏卖出盈亏（E38股，成本30/股）</t>
        </is>
      </c>
      <c r="B75" s="17">
        <f>E38*($B$5-$B$14/$B$9)-IF(E42&gt;0,MAX($B$22,$B$20*E42),0)</f>
        <v/>
      </c>
    </row>
    <row r="76">
      <c r="A76" s="3" t="inlineStr">
        <is>
          <t>电池旧批卖出盈亏（E39股，成本35/股）</t>
        </is>
      </c>
      <c r="B76" s="17">
        <f>E39*($B$6-$B$15/$B$10)-IF(E43&gt;0,MAX($B$22,$B$20*E43),0)</f>
        <v/>
      </c>
    </row>
    <row r="77">
      <c r="A77" s="18" t="inlineStr">
        <is>
          <t>合计 已实现盈亏</t>
        </is>
      </c>
      <c r="B77" s="19">
        <f>B75+B76</f>
        <v/>
      </c>
    </row>
    <row r="79">
      <c r="A79" s="6" t="inlineStr">
        <is>
          <t>【⑧ 次日情景：PlanB成交后为起点，新能源再跌5%→新分母→再叠加相同联动冲击】</t>
        </is>
      </c>
    </row>
    <row r="80">
      <c r="A80" s="2" t="inlineStr">
        <is>
          <t>指标</t>
        </is>
      </c>
      <c r="B80" s="2" t="inlineStr">
        <is>
          <t>数值(PlanB次日)</t>
        </is>
      </c>
    </row>
    <row r="81">
      <c r="A81" s="3" t="inlineStr">
        <is>
          <t>光伏5%后市值</t>
        </is>
      </c>
      <c r="B81" s="9">
        <f>E50*0.95</f>
        <v/>
      </c>
    </row>
    <row r="82">
      <c r="A82" s="3" t="inlineStr">
        <is>
          <t>电池5%后市值</t>
        </is>
      </c>
      <c r="B82" s="9">
        <f>E51*0.95</f>
        <v/>
      </c>
    </row>
    <row r="83">
      <c r="A83" s="3" t="inlineStr">
        <is>
          <t>公用市值(不变)</t>
        </is>
      </c>
      <c r="B83" s="9">
        <f>E52</f>
        <v/>
      </c>
    </row>
    <row r="84">
      <c r="A84" s="3" t="inlineStr">
        <is>
          <t>ETF市值(不变)</t>
        </is>
      </c>
      <c r="B84" s="9">
        <f>E53</f>
        <v/>
      </c>
    </row>
    <row r="85">
      <c r="A85" s="3" t="inlineStr">
        <is>
          <t>现金(不变,今日费已扣)</t>
        </is>
      </c>
      <c r="B85" s="9">
        <f>E49</f>
        <v/>
      </c>
    </row>
    <row r="86">
      <c r="A86" s="3" t="inlineStr">
        <is>
          <t>新分母D2(5%后/冲击前/未追加交易)</t>
        </is>
      </c>
      <c r="B86" s="9">
        <f>B81+B82+B83+B84+B85</f>
        <v/>
      </c>
    </row>
    <row r="87">
      <c r="A87" s="3" t="inlineStr">
        <is>
          <t>电池权重(÷D2)</t>
        </is>
      </c>
      <c r="B87" s="14">
        <f>B82/B86</f>
        <v/>
      </c>
    </row>
    <row r="88">
      <c r="A88" s="3" t="inlineStr">
        <is>
          <t>新能源权重(÷D2)</t>
        </is>
      </c>
      <c r="B88" s="14">
        <f>(B81+B82)/B86</f>
        <v/>
      </c>
    </row>
    <row r="89">
      <c r="A89" s="3" t="inlineStr">
        <is>
          <t>光伏冲击损失</t>
        </is>
      </c>
      <c r="B89" s="9">
        <f>B81*$B$23</f>
        <v/>
      </c>
    </row>
    <row r="90">
      <c r="A90" s="3" t="inlineStr">
        <is>
          <t>电池冲击损失</t>
        </is>
      </c>
      <c r="B90" s="9">
        <f>B82*$B$24</f>
        <v/>
      </c>
    </row>
    <row r="91">
      <c r="A91" s="3" t="inlineStr">
        <is>
          <t>公用冲击损失</t>
        </is>
      </c>
      <c r="B91" s="9">
        <f>B83*$B$25</f>
        <v/>
      </c>
    </row>
    <row r="92">
      <c r="A92" s="3" t="inlineStr">
        <is>
          <t>ETF冲击损失</t>
        </is>
      </c>
      <c r="B92" s="9">
        <f>B84*$B$26</f>
        <v/>
      </c>
    </row>
    <row r="93">
      <c r="A93" s="3" t="inlineStr">
        <is>
          <t>联动增量损失合计</t>
        </is>
      </c>
      <c r="B93" s="9">
        <f>B89+B90+B91+B92</f>
        <v/>
      </c>
    </row>
    <row r="94">
      <c r="A94" s="3" t="inlineStr">
        <is>
          <t>次日损失率(÷D2)</t>
        </is>
      </c>
      <c r="B94" s="14">
        <f>B93/B86</f>
        <v/>
      </c>
    </row>
    <row r="95">
      <c r="A95" s="3" t="inlineStr">
        <is>
          <t>是否≤12%</t>
        </is>
      </c>
      <c r="B95" s="16">
        <f>IF(B94&lt;=$B$30,"达标(余量极小)","超限")</f>
        <v/>
      </c>
    </row>
    <row r="97">
      <c r="A97" s="6" t="inlineStr">
        <is>
          <t>【⑨ 客户坚持『一股电池都不卖』的极限：其余全部清空成现金后】</t>
        </is>
      </c>
    </row>
    <row r="98">
      <c r="A98" s="3" t="inlineStr">
        <is>
          <t>电池全留市值(20000股)</t>
        </is>
      </c>
      <c r="B98" s="20">
        <f>$B$6*($B$10+$B$11)</f>
        <v/>
      </c>
    </row>
    <row r="99">
      <c r="A99" s="3" t="inlineStr">
        <is>
          <t>极限净资产(其余清空,仅扣费用)</t>
        </is>
      </c>
      <c r="B99" s="20">
        <f>1990000-(IF($B$9*$B$5&gt;0,MAX($B$22,$B$20*$B$9*$B$5),0)+IF($B$12*$B$7&gt;0,MAX($B$22,$B$20*$B$12*$B$7),0)+IF($B$13*$B$8&gt;0,MAX($B$22,$B$21*$B$13*$B$8),0))</f>
        <v/>
      </c>
    </row>
    <row r="100">
      <c r="A100" s="18" t="inlineStr">
        <is>
          <t>电池极限权重</t>
        </is>
      </c>
      <c r="B100" s="21">
        <f>B98/B99</f>
        <v/>
      </c>
    </row>
    <row r="101">
      <c r="A101" s="18" t="inlineStr">
        <is>
          <t>结论</t>
        </is>
      </c>
      <c r="B101" s="22" t="inlineStr">
        <is>
          <t>电池仍≈30.16%&gt;25%：不增资、不加杠杆下，单票25%对『全留电池』结构性不可达</t>
        </is>
      </c>
    </row>
  </sheetData>
  <mergeCells count="6">
    <mergeCell ref="B101:E101"/>
    <mergeCell ref="A1:F1"/>
    <mergeCell ref="A74:E74"/>
    <mergeCell ref="A32:E32"/>
    <mergeCell ref="A97:E97"/>
    <mergeCell ref="A79:E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账户核对：13:00汇总页 与 14:30持仓 勾稽（采用口径=14:30）</t>
        </is>
      </c>
    </row>
    <row r="3">
      <c r="A3" s="2" t="inlineStr">
        <is>
          <t>品种(批次)</t>
        </is>
      </c>
      <c r="B3" s="2" t="inlineStr">
        <is>
          <t>数量</t>
        </is>
      </c>
      <c r="C3" s="2" t="inlineStr">
        <is>
          <t>13:00价</t>
        </is>
      </c>
      <c r="D3" s="2" t="inlineStr">
        <is>
          <t>13:00市值</t>
        </is>
      </c>
      <c r="E3" s="2" t="inlineStr">
        <is>
          <t>14:30价</t>
        </is>
      </c>
      <c r="F3" s="2" t="inlineStr">
        <is>
          <t>14:30市值</t>
        </is>
      </c>
      <c r="G3" s="2" t="inlineStr">
        <is>
          <t>差额</t>
        </is>
      </c>
      <c r="H3" s="2" t="inlineStr">
        <is>
          <t>批次成本</t>
        </is>
      </c>
      <c r="I3" s="2" t="inlineStr">
        <is>
          <t>浮动盈亏</t>
        </is>
      </c>
    </row>
    <row r="4">
      <c r="A4" s="8" t="inlineStr">
        <is>
          <t>光伏设备 EQ01</t>
        </is>
      </c>
      <c r="B4" s="23" t="n">
        <v>20000</v>
      </c>
      <c r="C4" s="4" t="n">
        <v>26</v>
      </c>
      <c r="D4" s="20">
        <f>B4*C4</f>
        <v/>
      </c>
      <c r="E4" s="4" t="n">
        <v>25</v>
      </c>
      <c r="F4" s="20">
        <f>B4*E4</f>
        <v/>
      </c>
      <c r="G4" s="24">
        <f>F4-D4</f>
        <v/>
      </c>
      <c r="H4" s="25" t="n">
        <v>600000</v>
      </c>
      <c r="I4" s="24">
        <f>F4-H4</f>
        <v/>
      </c>
    </row>
    <row r="5">
      <c r="A5" s="8" t="inlineStr">
        <is>
          <t>电池制造 EQ02(旧16000+新4000)</t>
        </is>
      </c>
      <c r="B5" s="23" t="n">
        <v>20000</v>
      </c>
      <c r="C5" s="4" t="n">
        <v>31</v>
      </c>
      <c r="D5" s="20">
        <f>B5*C5</f>
        <v/>
      </c>
      <c r="E5" s="4" t="n">
        <v>30</v>
      </c>
      <c r="F5" s="20">
        <f>B5*E5</f>
        <v/>
      </c>
      <c r="G5" s="24">
        <f>F5-D5</f>
        <v/>
      </c>
      <c r="H5" s="25" t="n">
        <v>682000</v>
      </c>
      <c r="I5" s="24">
        <f>F5-H5</f>
        <v/>
      </c>
    </row>
    <row r="6">
      <c r="A6" s="8" t="inlineStr">
        <is>
          <t>公用事业 EQ03</t>
        </is>
      </c>
      <c r="B6" s="23" t="n">
        <v>30000</v>
      </c>
      <c r="C6" s="4" t="n">
        <v>10</v>
      </c>
      <c r="D6" s="20">
        <f>B6*C6</f>
        <v/>
      </c>
      <c r="E6" s="4" t="n">
        <v>10</v>
      </c>
      <c r="F6" s="20">
        <f>B6*E6</f>
        <v/>
      </c>
      <c r="G6" s="24">
        <f>F6-D6</f>
        <v/>
      </c>
      <c r="H6" s="25" t="n">
        <v>240000</v>
      </c>
      <c r="I6" s="24">
        <f>F6-H6</f>
        <v/>
      </c>
    </row>
    <row r="7">
      <c r="A7" s="8" t="inlineStr">
        <is>
          <t>宽基ETF ETF01</t>
        </is>
      </c>
      <c r="B7" s="23" t="n">
        <v>120000</v>
      </c>
      <c r="C7" s="4" t="n">
        <v>3</v>
      </c>
      <c r="D7" s="20">
        <f>B7*C7</f>
        <v/>
      </c>
      <c r="E7" s="4" t="n">
        <v>3</v>
      </c>
      <c r="F7" s="20">
        <f>B7*E7</f>
        <v/>
      </c>
      <c r="G7" s="24">
        <f>F7-D7</f>
        <v/>
      </c>
      <c r="H7" s="25" t="n">
        <v>336000</v>
      </c>
      <c r="I7" s="24">
        <f>F7-H7</f>
        <v/>
      </c>
    </row>
    <row r="8">
      <c r="A8" s="18" t="inlineStr">
        <is>
          <t>证券市值合计</t>
        </is>
      </c>
      <c r="D8" s="19">
        <f>SUM(D4:D7)</f>
        <v/>
      </c>
      <c r="F8" s="19">
        <f>SUM(F4:F7)</f>
        <v/>
      </c>
      <c r="G8" s="26">
        <f>F8-D8</f>
        <v/>
      </c>
    </row>
    <row r="9">
      <c r="A9" s="3" t="inlineStr">
        <is>
          <t>现金</t>
        </is>
      </c>
      <c r="F9" s="20">
        <f>'调整与情景测算'!$B$19</f>
        <v/>
      </c>
    </row>
    <row r="10">
      <c r="A10" s="27" t="inlineStr">
        <is>
          <t>账户净资产</t>
        </is>
      </c>
      <c r="D10" s="28">
        <f>D8+F9</f>
        <v/>
      </c>
      <c r="F10" s="28">
        <f>F8+F9</f>
        <v/>
      </c>
      <c r="G10" s="26">
        <f>F10-D10</f>
        <v/>
      </c>
    </row>
    <row r="12">
      <c r="A12" s="29" t="inlineStr">
        <is>
          <t>【勾稽结论】</t>
        </is>
      </c>
    </row>
    <row r="13">
      <c r="A13" s="30" t="inlineStr">
        <is>
          <t>13:00汇总页净资产=2,030,000元（用13:00价：光伏26、电池31）；14:30重新按买一价估值=1,990,000元。</t>
        </is>
      </c>
    </row>
    <row r="14">
      <c r="A14" s="30" t="inlineStr">
        <is>
          <t>差额=40,000元，全部来自价格变动：光伏26→25（20,000股，-20,000）+电池31→30（20,000股，-20,000）；公用、ETF价格未变。</t>
        </is>
      </c>
    </row>
    <row r="15">
      <c r="A15" s="30" t="inlineStr">
        <is>
          <t>现金两时点均为230,000元；10:12买入电池4,000股、总成本122,000元已在现金中扣过，本方案不再重复扣现金。</t>
        </is>
      </c>
    </row>
    <row r="16">
      <c r="A16" s="30" t="inlineStr">
        <is>
          <t>采用口径：净资产1,990,000元、现金230,000元（14:30）。无负债、无融资、无其他资产。</t>
        </is>
      </c>
    </row>
    <row r="18">
      <c r="A18" s="29" t="inlineStr">
        <is>
          <t>【可卖批次台账】</t>
        </is>
      </c>
    </row>
    <row r="19">
      <c r="A19" s="2" t="inlineStr">
        <is>
          <t>品种</t>
        </is>
      </c>
      <c r="B19" s="2" t="inlineStr">
        <is>
          <t>总数量</t>
        </is>
      </c>
      <c r="C19" s="2" t="inlineStr">
        <is>
          <t>今日可卖</t>
        </is>
      </c>
      <c r="D19" s="2" t="inlineStr">
        <is>
          <t>不可卖原因</t>
        </is>
      </c>
    </row>
    <row r="20">
      <c r="A20" s="3" t="inlineStr">
        <is>
          <t>光伏设备</t>
        </is>
      </c>
      <c r="B20" s="9" t="n">
        <v>20000</v>
      </c>
      <c r="C20" s="9" t="n">
        <v>20000</v>
      </c>
      <c r="D20" s="3" t="inlineStr">
        <is>
          <t>—</t>
        </is>
      </c>
    </row>
    <row r="21">
      <c r="A21" s="3" t="inlineStr">
        <is>
          <t>电池制造-旧批</t>
        </is>
      </c>
      <c r="B21" s="9" t="n">
        <v>16000</v>
      </c>
      <c r="C21" s="9" t="n">
        <v>16000</v>
      </c>
      <c r="D21" s="3" t="inlineStr">
        <is>
          <t>—</t>
        </is>
      </c>
    </row>
    <row r="22">
      <c r="A22" s="3" t="inlineStr">
        <is>
          <t>电池制造-新批</t>
        </is>
      </c>
      <c r="B22" s="9" t="n">
        <v>4000</v>
      </c>
      <c r="C22" s="9" t="n">
        <v>0</v>
      </c>
      <c r="D22" s="3" t="inlineStr">
        <is>
          <t>今日买入，下一交易日方可卖</t>
        </is>
      </c>
    </row>
    <row r="23">
      <c r="A23" s="3" t="inlineStr">
        <is>
          <t>公用事业</t>
        </is>
      </c>
      <c r="B23" s="9" t="n">
        <v>30000</v>
      </c>
      <c r="C23" s="9" t="n">
        <v>30000</v>
      </c>
      <c r="D23" s="3" t="inlineStr">
        <is>
          <t>—</t>
        </is>
      </c>
    </row>
    <row r="24">
      <c r="A24" s="3" t="inlineStr">
        <is>
          <t>宽基ETF</t>
        </is>
      </c>
      <c r="B24" s="9" t="n">
        <v>120000</v>
      </c>
      <c r="C24" s="9" t="n">
        <v>120000</v>
      </c>
      <c r="D24" s="3" t="inlineStr">
        <is>
          <t>—</t>
        </is>
      </c>
    </row>
    <row r="25">
      <c r="A25" s="3" t="inlineStr">
        <is>
          <t>合计</t>
        </is>
      </c>
      <c r="B25" s="9" t="n">
        <v>190000</v>
      </c>
      <c r="C25" s="9" t="n">
        <v>186000</v>
      </c>
      <c r="D25" s="3" t="inlineStr"/>
    </row>
    <row r="26">
      <c r="A26" s="6" t="inlineStr">
        <is>
          <t>【未调整现状：四项硬约束】</t>
        </is>
      </c>
    </row>
    <row r="27">
      <c r="A27" s="2" t="inlineStr">
        <is>
          <t>指标</t>
        </is>
      </c>
      <c r="B27" s="2" t="inlineStr">
        <is>
          <t>现状值</t>
        </is>
      </c>
      <c r="C27" s="2" t="inlineStr">
        <is>
          <t>判定</t>
        </is>
      </c>
    </row>
    <row r="28">
      <c r="A28" s="3" t="inlineStr">
        <is>
          <t>现金</t>
        </is>
      </c>
      <c r="B28" s="20">
        <f>'调整与情景测算'!$B$49</f>
        <v/>
      </c>
      <c r="C28" s="31">
        <f>'调整与情景测算'!$B$68</f>
        <v/>
      </c>
    </row>
    <row r="29">
      <c r="A29" s="3" t="inlineStr">
        <is>
          <t>光伏权重</t>
        </is>
      </c>
      <c r="B29" s="32">
        <f>'调整与情景测算'!$B$55</f>
        <v/>
      </c>
      <c r="C29" s="31">
        <f>'调整与情景测算'!$B$69</f>
        <v/>
      </c>
    </row>
    <row r="30">
      <c r="A30" s="3" t="inlineStr">
        <is>
          <t>电池权重</t>
        </is>
      </c>
      <c r="B30" s="32">
        <f>'调整与情景测算'!$B$56</f>
        <v/>
      </c>
      <c r="C30" s="31">
        <f>'调整与情景测算'!$B$70</f>
        <v/>
      </c>
    </row>
    <row r="31">
      <c r="A31" s="3" t="inlineStr">
        <is>
          <t>新能源权重</t>
        </is>
      </c>
      <c r="B31" s="32">
        <f>'调整与情景测算'!$B$59</f>
        <v/>
      </c>
      <c r="C31" s="31">
        <f>'调整与情景测算'!$B$71</f>
        <v/>
      </c>
    </row>
    <row r="32">
      <c r="A32" s="3" t="inlineStr">
        <is>
          <t>联动损失率</t>
        </is>
      </c>
      <c r="B32" s="32">
        <f>'调整与情景测算'!$B$67</f>
        <v/>
      </c>
      <c r="C32" s="31">
        <f>'调整与情景测算'!$B$72</f>
        <v/>
      </c>
    </row>
  </sheetData>
  <mergeCells count="8">
    <mergeCell ref="A15:I15"/>
    <mergeCell ref="A26:E26"/>
    <mergeCell ref="A13:I13"/>
    <mergeCell ref="A14:I14"/>
    <mergeCell ref="A1:I1"/>
    <mergeCell ref="A18:I18"/>
    <mergeCell ref="A12:I12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致客户：集中持仓处理方案说明（可直接使用）</t>
        </is>
      </c>
    </row>
    <row r="2">
      <c r="A2" s="30" t="inlineStr"/>
    </row>
    <row r="3">
      <c r="A3" s="33" t="inlineStr">
        <is>
          <t>一、我们核对了账户</t>
        </is>
      </c>
    </row>
    <row r="4">
      <c r="A4" s="30" t="inlineStr">
        <is>
          <t>13:00汇总页显示净资产203.0万元，14:30按最新买一价重估为199.0万元。差额4.0万元全部是行情波动（光伏、电池各跌约1元/股），不是现金少了；现金仍为23.0万元。上午10:12补买的电池4,000股（成本12.2万元）已经从现金里扣过，不会再扣一次。</t>
        </is>
      </c>
    </row>
    <row r="5">
      <c r="A5" s="30" t="inlineStr"/>
    </row>
    <row r="6">
      <c r="A6" s="33" t="inlineStr">
        <is>
          <t>二、为什么不能“只卖赚钱的公用事业、留下亏损电池等反弹”</t>
        </is>
      </c>
    </row>
    <row r="7">
      <c r="A7" s="30" t="inlineStr">
        <is>
          <t>您的想法是只卖出盈利的公用事业、保留亏损的电池和光伏。我们按四项风控硬指标测算了这个做法：卖完全部公用事业后，现金充足（约53.0万元，达标），但光伏仍占约25.1%、电池约30.2%、光伏+电池合计约55.3%，联动冲击损失率约16.0%。即使把同样盈利的宽基ETF也一并卖掉，新能源占比仍约55.3%、损失率仍约13.8%。原因是：亏损集中在光伏、电池，而这两项在联动情景里恰恰是各跌25%的最大风险来源；卖掉跌得少（公用事业跌8%、ETF跌12%）的盈利品种，并不能把真正的风险降下来。</t>
        </is>
      </c>
    </row>
    <row r="8">
      <c r="A8" s="30" t="inlineStr"/>
    </row>
    <row r="9">
      <c r="A9" s="33" t="inlineStr">
        <is>
          <t>三、推荐做法（按组合风险减仓）</t>
        </is>
      </c>
    </row>
    <row r="10">
      <c r="A10" s="30" t="inlineStr">
        <is>
          <t>在不增资、不加杠杆、且今天不新买入的前提下，建议：</t>
        </is>
      </c>
    </row>
    <row r="11">
      <c r="A11" s="30" t="inlineStr">
        <is>
          <t>· 卖出光伏12,400股（保留7,600股）；</t>
        </is>
      </c>
    </row>
    <row r="12">
      <c r="A12" s="30" t="inlineStr">
        <is>
          <t>· 卖出电池旧批次3,500股（保留电池共16,500股，其中今天新买入的4,000股一股不动）；</t>
        </is>
      </c>
    </row>
    <row r="13">
      <c r="A13" s="30" t="inlineStr">
        <is>
          <t>· 公用事业、宽基ETF全部保留。</t>
        </is>
      </c>
    </row>
    <row r="14">
      <c r="A14" s="30" t="inlineStr">
        <is>
          <t>成交后：现金约64.5万元，净资产约198.97万元；电池占比约24.9%、光伏+电池合计约34.4%、联动损失率约11.98%。四项指标同时回到限制以内。本次减仓实现的是账面亏损约7.98万元（光伏约-6.22万、电池约-1.76万，已扣费），这是把过度集中的风险换回来的代价；剩余持仓继续保留，并非清仓离场。</t>
        </is>
      </c>
    </row>
    <row r="15">
      <c r="A15" s="30" t="inlineStr"/>
    </row>
    <row r="16">
      <c r="A16" s="33" t="inlineStr">
        <is>
          <t>四、如果您坚持一股电池都不卖</t>
        </is>
      </c>
    </row>
    <row r="17">
      <c r="A17" s="30" t="inlineStr">
        <is>
          <t>我们做了极限测算：即便把光伏、公用、ETF全部清空变成现金，电池仍占净资产约30.16%，高于25%的单票上限。也就是说，在不增资、不加杠杆的前提下，“完全不动电池”与“单票≤25%”在数学上无法同时成立。要坚持全留电池，只能由您选择：① 把单票上限从25%放宽（我们不擅自替您提高风险预算），或② 追加外部资金摊薄（与“不增资”前提冲突）。我们不建议在风险已超限期间继续补电池——那会同时推高25%、45%和12%三项指标。</t>
        </is>
      </c>
    </row>
    <row r="18">
      <c r="A18" s="30" t="inlineStr"/>
    </row>
    <row r="19">
      <c r="A19" s="33" t="inlineStr">
        <is>
          <t>五、次日（9月9日）安排与触发条件</t>
        </is>
      </c>
    </row>
    <row r="20">
      <c r="A20" s="30" t="inlineStr">
        <is>
          <t>· 若今日报价、可卖数量正常：下午按上述数量以限价挂单，是否成交取决于盘口；未成交部分不算已减仓，下一交易日开盘前重核可卖数与价格后再处理。</t>
        </is>
      </c>
    </row>
    <row r="21">
      <c r="A21" s="30" t="inlineStr">
        <is>
          <t>· 若光伏或电池跌停、无买盘：当日不强行成交，该两项风险指标维持“未达标”，次日再核；不因此改卖其他品种凑数。</t>
        </is>
      </c>
    </row>
    <row r="22">
      <c r="A22" s="30" t="inlineStr">
        <is>
          <t>· 若次日新能源再跌5%：以今日减仓后持仓为新起点重算，联动损失率约11.76%，仍在12%以内但余量很小；一旦超过12%或电池占比重回25%以上，按纪律继续减持对应新能源品种，而不是补仓摊薄。</t>
        </is>
      </c>
    </row>
    <row r="23">
      <c r="A23" s="30" t="inlineStr"/>
    </row>
    <row r="24">
      <c r="A24" s="33" t="inlineStr">
        <is>
          <t>六、需要您在成交前确认的事项</t>
        </is>
      </c>
    </row>
    <row r="25">
      <c r="A25" s="30" t="inlineStr">
        <is>
          <t>本测算用的是14:30买一价，不是实时成交价；实际以成交时买一价、整手（100股）、最低佣金和盘口为准。我们不代您下单、不承诺回本或反弹。请确认：是否按推荐数量执行；若坚持全留电池，请明确是否放宽单票上限或追加资金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16" customWidth="1" min="4" max="4"/>
    <col width="16" customWidth="1" min="5" max="5"/>
    <col width="26" customWidth="1" min="6" max="6"/>
    <col width="26" customWidth="1" min="7" max="7"/>
  </cols>
  <sheetData>
    <row r="1">
      <c r="A1" s="1" t="inlineStr">
        <is>
          <t>交易日历、if→then 规则与交付自检</t>
        </is>
      </c>
    </row>
    <row r="3">
      <c r="A3" s="6" t="inlineStr">
        <is>
          <t>① 交易日历（按常规工作日，遇节假日顺延到下一交易日）</t>
        </is>
      </c>
    </row>
    <row r="4">
      <c r="A4" s="2" t="inlineStr">
        <is>
          <t>日期</t>
        </is>
      </c>
      <c r="B4" s="2" t="inlineStr">
        <is>
          <t>星期</t>
        </is>
      </c>
      <c r="C4" s="2" t="inlineStr">
        <is>
          <t>是否交易日</t>
        </is>
      </c>
      <c r="D4" s="2" t="inlineStr">
        <is>
          <t>时段/动作</t>
        </is>
      </c>
      <c r="E4" s="2" t="inlineStr">
        <is>
          <t>资金可用</t>
        </is>
      </c>
      <c r="F4" s="2" t="inlineStr">
        <is>
          <t>备注</t>
        </is>
      </c>
    </row>
    <row r="5">
      <c r="A5" s="8" t="inlineStr">
        <is>
          <t>2026-09-08</t>
        </is>
      </c>
      <c r="B5" s="8" t="inlineStr">
        <is>
          <t>周二</t>
        </is>
      </c>
      <c r="C5" s="8" t="inlineStr">
        <is>
          <t>是</t>
        </is>
      </c>
      <c r="D5" s="8" t="inlineStr">
        <is>
          <t>14:30后至收盘前按条件挂单</t>
        </is>
      </c>
      <c r="E5" s="8" t="inlineStr">
        <is>
          <t>T+1可用</t>
        </is>
      </c>
      <c r="F5" s="8" t="inlineStr">
        <is>
          <t>测算基准日；今日新批电池4000股不可卖</t>
        </is>
      </c>
    </row>
    <row r="6">
      <c r="A6" s="8" t="inlineStr">
        <is>
          <t>2026-09-09</t>
        </is>
      </c>
      <c r="B6" s="8" t="inlineStr">
        <is>
          <t>周三</t>
        </is>
      </c>
      <c r="C6" s="8" t="inlineStr">
        <is>
          <t>是</t>
        </is>
      </c>
      <c r="D6" s="8" t="inlineStr">
        <is>
          <t>开盘前重核可卖数与报价</t>
        </is>
      </c>
      <c r="E6" s="8" t="inlineStr">
        <is>
          <t>—</t>
        </is>
      </c>
      <c r="F6" s="8" t="inlineStr">
        <is>
          <t>下一交易日；若9/8成交，电池新批4000股转入可卖（本方案不动用）</t>
        </is>
      </c>
    </row>
    <row r="8">
      <c r="A8" s="6" t="inlineStr">
        <is>
          <t>② 硬约束反解与判定（当前=未调整列B；PlanB=E列）</t>
        </is>
      </c>
    </row>
    <row r="9">
      <c r="A9" s="2" t="inlineStr">
        <is>
          <t>约束</t>
        </is>
      </c>
      <c r="B9" s="2" t="inlineStr">
        <is>
          <t>阈值</t>
        </is>
      </c>
      <c r="C9" s="2" t="inlineStr">
        <is>
          <t>当前值</t>
        </is>
      </c>
      <c r="D9" s="2" t="inlineStr">
        <is>
          <t>反解达标所需</t>
        </is>
      </c>
      <c r="E9" s="2" t="inlineStr">
        <is>
          <t>PlanB值</t>
        </is>
      </c>
      <c r="F9" s="2" t="inlineStr">
        <is>
          <t>判定</t>
        </is>
      </c>
    </row>
    <row r="10">
      <c r="A10" s="16" t="inlineStr">
        <is>
          <t>现金</t>
        </is>
      </c>
      <c r="B10" s="16" t="inlineStr">
        <is>
          <t>≥300,000</t>
        </is>
      </c>
      <c r="C10" s="9">
        <f>'调整与情景测算'!$B$49</f>
        <v/>
      </c>
      <c r="D10" s="34" t="inlineStr">
        <is>
          <t>卖出约8,000股光伏即够</t>
        </is>
      </c>
      <c r="E10" s="9">
        <f>'调整与情景测算'!$E$49</f>
        <v/>
      </c>
      <c r="F10" s="16">
        <f>'调整与情景测算'!$E$68</f>
        <v/>
      </c>
    </row>
    <row r="11">
      <c r="A11" s="16" t="inlineStr">
        <is>
          <t>光伏权重</t>
        </is>
      </c>
      <c r="B11" s="16" t="inlineStr">
        <is>
          <t>≤25%</t>
        </is>
      </c>
      <c r="C11" s="14">
        <f>'调整与情景测算'!$B$55</f>
        <v/>
      </c>
      <c r="D11" s="34" t="inlineStr">
        <is>
          <t>光伏≤约19,900股</t>
        </is>
      </c>
      <c r="E11" s="14">
        <f>'调整与情景测算'!$E$55</f>
        <v/>
      </c>
      <c r="F11" s="16">
        <f>'调整与情景测算'!$E$69</f>
        <v/>
      </c>
    </row>
    <row r="12">
      <c r="A12" s="16" t="inlineStr">
        <is>
          <t>电池权重</t>
        </is>
      </c>
      <c r="B12" s="16" t="inlineStr">
        <is>
          <t>≤25%</t>
        </is>
      </c>
      <c r="C12" s="14">
        <f>'调整与情景测算'!$B$56</f>
        <v/>
      </c>
      <c r="D12" s="34" t="inlineStr">
        <is>
          <t>电池≤约16,500股(卖旧批3,500)</t>
        </is>
      </c>
      <c r="E12" s="14">
        <f>'调整与情景测算'!$E$56</f>
        <v/>
      </c>
      <c r="F12" s="16">
        <f>'调整与情景测算'!$E$70</f>
        <v/>
      </c>
    </row>
    <row r="13">
      <c r="A13" s="16" t="inlineStr">
        <is>
          <t>新能源权重</t>
        </is>
      </c>
      <c r="B13" s="16" t="inlineStr">
        <is>
          <t>≤45%</t>
        </is>
      </c>
      <c r="C13" s="14">
        <f>'调整与情景测算'!$B$59</f>
        <v/>
      </c>
      <c r="D13" s="34" t="inlineStr">
        <is>
          <t>光伏+电池市值≤约895,500</t>
        </is>
      </c>
      <c r="E13" s="14">
        <f>'调整与情景测算'!$E$59</f>
        <v/>
      </c>
      <c r="F13" s="16">
        <f>'调整与情景测算'!$E$71</f>
        <v/>
      </c>
    </row>
    <row r="14">
      <c r="A14" s="16" t="inlineStr">
        <is>
          <t>联动损失率</t>
        </is>
      </c>
      <c r="B14" s="16" t="inlineStr">
        <is>
          <t>≤12%</t>
        </is>
      </c>
      <c r="C14" s="14">
        <f>'调整与情景测算'!$B$67</f>
        <v/>
      </c>
      <c r="D14" s="34" t="inlineStr">
        <is>
          <t>组合后损失≤约238,760</t>
        </is>
      </c>
      <c r="E14" s="14">
        <f>'调整与情景测算'!$E$67</f>
        <v/>
      </c>
      <c r="F14" s="16">
        <f>'调整与情景测算'!$E$72</f>
        <v/>
      </c>
    </row>
    <row r="16">
      <c r="A16" s="6" t="inlineStr">
        <is>
          <t>③ if→then 交易纪律（今日=9/8，次日=9/9；数量口径=累计总卖出量，基准=今日可卖量）</t>
        </is>
      </c>
    </row>
    <row r="17">
      <c r="A17" s="2" t="inlineStr">
        <is>
          <t>规则号</t>
        </is>
      </c>
      <c r="B17" s="2" t="inlineStr">
        <is>
          <t>触发条件(阈值+时点)</t>
        </is>
      </c>
      <c r="C17" s="2" t="inlineStr">
        <is>
          <t>方向自检</t>
        </is>
      </c>
      <c r="D17" s="2" t="inlineStr">
        <is>
          <t>动作</t>
        </is>
      </c>
      <c r="E17" s="2" t="inlineStr">
        <is>
          <t>数量/口径</t>
        </is>
      </c>
      <c r="F17" s="2" t="inlineStr">
        <is>
          <t>执行时点</t>
        </is>
      </c>
      <c r="G17" s="2" t="inlineStr">
        <is>
          <t>未成交后手/复核</t>
        </is>
      </c>
    </row>
    <row r="18" ht="42" customHeight="1">
      <c r="A18" s="8" t="inlineStr">
        <is>
          <t>R1</t>
        </is>
      </c>
      <c r="B18" s="8" t="inlineStr">
        <is>
          <t>买一价正常、可卖数已确认，且收盘前</t>
        </is>
      </c>
      <c r="C18" s="8" t="inlineStr">
        <is>
          <t>卖出盈利品种不能降新能源风险，必须减光伏/电池才有效</t>
        </is>
      </c>
      <c r="D18" s="8" t="inlineStr">
        <is>
          <t>限价卖光伏12,400股、电池旧批3,500股</t>
        </is>
      </c>
      <c r="E18" s="8" t="inlineStr">
        <is>
          <t>光伏12,400+电池3,500(累计)</t>
        </is>
      </c>
      <c r="F18" s="8" t="inlineStr">
        <is>
          <t>9/8收盘前</t>
        </is>
      </c>
      <c r="G18" s="8" t="inlineStr">
        <is>
          <t>成交后复核E列四指标；未成交部分转R2</t>
        </is>
      </c>
    </row>
    <row r="19">
      <c r="A19" s="8" t="inlineStr">
        <is>
          <t>R2</t>
        </is>
      </c>
      <c r="B19" s="8" t="inlineStr">
        <is>
          <t>上述任一品种只部分成交</t>
        </is>
      </c>
      <c r="C19" s="8" t="inlineStr">
        <is>
          <t>成交才算减仓，未成交不算</t>
        </is>
      </c>
      <c r="D19" s="8" t="inlineStr">
        <is>
          <t>按实际成交价重算权重与损失率</t>
        </is>
      </c>
      <c r="E19" s="8" t="inlineStr">
        <is>
          <t>按实际成交(累计)</t>
        </is>
      </c>
      <c r="F19" s="8" t="inlineStr">
        <is>
          <t>9/8收盘后</t>
        </is>
      </c>
      <c r="G19" s="8" t="inlineStr">
        <is>
          <t>缺口在9/9开盘后按R4补足</t>
        </is>
      </c>
    </row>
    <row r="20">
      <c r="A20" s="8" t="inlineStr">
        <is>
          <t>R3</t>
        </is>
      </c>
      <c r="B20" s="8" t="inlineStr">
        <is>
          <t>光伏或电池跌停/无买盘</t>
        </is>
      </c>
      <c r="C20" s="8" t="inlineStr">
        <is>
          <t>强行市价会放大滑点，不追</t>
        </is>
      </c>
      <c r="D20" s="8" t="inlineStr">
        <is>
          <t>当日不成交该品种，维持未达标</t>
        </is>
      </c>
      <c r="E20" s="8" t="inlineStr">
        <is>
          <t>0(未成交)</t>
        </is>
      </c>
      <c r="F20" s="8" t="inlineStr">
        <is>
          <t>9/8</t>
        </is>
      </c>
      <c r="G20" s="8" t="inlineStr">
        <is>
          <t>次日开盘重核；不得改卖公用/ETF凑数</t>
        </is>
      </c>
    </row>
    <row r="21">
      <c r="A21" s="8" t="inlineStr">
        <is>
          <t>R4</t>
        </is>
      </c>
      <c r="B21" s="8" t="inlineStr">
        <is>
          <t>9/9开盘前</t>
        </is>
      </c>
      <c r="C21" s="8" t="inlineStr">
        <is>
          <t>报价与可卖数以开盘为准</t>
        </is>
      </c>
      <c r="D21" s="8" t="inlineStr">
        <is>
          <t>重核可卖数与最新价，按剩余持仓重算四指标</t>
        </is>
      </c>
      <c r="E21" s="8" t="inlineStr">
        <is>
          <t>—</t>
        </is>
      </c>
      <c r="F21" s="8" t="inlineStr">
        <is>
          <t>9/9开盘</t>
        </is>
      </c>
      <c r="G21" s="8" t="inlineStr">
        <is>
          <t>电池新批4,000股转可卖但本方案不动用</t>
        </is>
      </c>
    </row>
    <row r="22" ht="42" customHeight="1">
      <c r="A22" s="8" t="inlineStr">
        <is>
          <t>R5</t>
        </is>
      </c>
      <c r="B22" s="8" t="inlineStr">
        <is>
          <t>盘中光伏+电池累计再跌约5%</t>
        </is>
      </c>
      <c r="C22" s="8" t="inlineStr">
        <is>
          <t>下跌使权重/损失率恶化(分母变小)</t>
        </is>
      </c>
      <c r="D22" s="8" t="inlineStr">
        <is>
          <t>重算损失率；当前余量仅约0.24个百分点</t>
        </is>
      </c>
      <c r="E22" s="8" t="inlineStr">
        <is>
          <t>一旦&gt;12%或电池&gt;25%即再减新能源</t>
        </is>
      </c>
      <c r="F22" s="8" t="inlineStr">
        <is>
          <t>9/9盘中</t>
        </is>
      </c>
      <c r="G22" s="8" t="inlineStr">
        <is>
          <t>禁止补仓摊薄；按下行档位再减</t>
        </is>
      </c>
    </row>
    <row r="23">
      <c r="A23" s="8" t="inlineStr">
        <is>
          <t>R6</t>
        </is>
      </c>
      <c r="B23" s="8" t="inlineStr">
        <is>
          <t>成交价低于假设致现金&lt;30万</t>
        </is>
      </c>
      <c r="C23" s="8" t="inlineStr">
        <is>
          <t>现金是硬下限</t>
        </is>
      </c>
      <c r="D23" s="8" t="inlineStr">
        <is>
          <t>优先补卖光伏(不碰电池新批)</t>
        </is>
      </c>
      <c r="E23" s="8" t="inlineStr">
        <is>
          <t>补卖至现金≥30万</t>
        </is>
      </c>
      <c r="F23" s="8" t="inlineStr">
        <is>
          <t>成交后即时</t>
        </is>
      </c>
      <c r="G23" s="8" t="inlineStr">
        <is>
          <t>复核现金≥30万且单票≤25%</t>
        </is>
      </c>
    </row>
    <row r="26">
      <c r="A26" s="6" t="inlineStr">
        <is>
          <t>④ 交付自检回执（填值，非打勾）</t>
        </is>
      </c>
    </row>
    <row r="27">
      <c r="A27" s="2" t="inlineStr">
        <is>
          <t>自检项</t>
        </is>
      </c>
      <c r="B27" s="2" t="inlineStr">
        <is>
          <t>填写值</t>
        </is>
      </c>
      <c r="C27" s="35" t="n"/>
      <c r="D27" s="35" t="n"/>
      <c r="E27" s="35" t="n"/>
      <c r="F27" s="35" t="n"/>
      <c r="G27" s="36" t="n"/>
    </row>
    <row r="28">
      <c r="A28" s="8" t="inlineStr">
        <is>
          <t>交付清单</t>
        </is>
      </c>
      <c r="B28" s="8" t="inlineStr">
        <is>
          <t>3张工作表：账户核对 / 调整与情景测算 / 客户沟通说明(+规则与自检)；单一xlsx文件</t>
        </is>
      </c>
      <c r="C28" s="35" t="n"/>
      <c r="D28" s="35" t="n"/>
      <c r="E28" s="35" t="n"/>
      <c r="F28" s="35" t="n"/>
      <c r="G28" s="36" t="n"/>
    </row>
    <row r="29">
      <c r="A29" s="8" t="inlineStr">
        <is>
          <t>占比分母</t>
        </is>
      </c>
      <c r="B29" s="8" t="inlineStr">
        <is>
          <t>权重分母=成交后净资产D；PlanB D=1,989,668(=1,990,000-费用332)</t>
        </is>
      </c>
      <c r="C29" s="35" t="n"/>
      <c r="D29" s="35" t="n"/>
      <c r="E29" s="35" t="n"/>
      <c r="F29" s="35" t="n"/>
      <c r="G29" s="36" t="n"/>
    </row>
    <row r="30">
      <c r="A30" s="8" t="inlineStr">
        <is>
          <t>权重加总</t>
        </is>
      </c>
      <c r="B30" s="8" t="inlineStr">
        <is>
          <t>账户核对/测算row61=100.00%（已加总校验）</t>
        </is>
      </c>
      <c r="C30" s="35" t="n"/>
      <c r="D30" s="35" t="n"/>
      <c r="E30" s="35" t="n"/>
      <c r="F30" s="35" t="n"/>
      <c r="G30" s="36" t="n"/>
    </row>
    <row r="31">
      <c r="A31" s="8" t="inlineStr">
        <is>
          <t>最紧约束</t>
        </is>
      </c>
      <c r="B31" s="8" t="inlineStr">
        <is>
          <t>联动损失率：PlanB 11.98% vs 12%阈值；反解=光伏卖12,400+电池旧批卖3,500；规则R1</t>
        </is>
      </c>
      <c r="C31" s="35" t="n"/>
      <c r="D31" s="35" t="n"/>
      <c r="E31" s="35" t="n"/>
      <c r="F31" s="35" t="n"/>
      <c r="G31" s="36" t="n"/>
    </row>
    <row r="32">
      <c r="A32" s="8" t="inlineStr">
        <is>
          <t>相邻一手</t>
        </is>
      </c>
      <c r="B32" s="8" t="inlineStr">
        <is>
          <t>光伏少卖100→损失率12.02%超线；电池少卖100→电池权重25.03%超线（故数量不可再少）</t>
        </is>
      </c>
      <c r="C32" s="35" t="n"/>
      <c r="D32" s="35" t="n"/>
      <c r="E32" s="35" t="n"/>
      <c r="F32" s="35" t="n"/>
      <c r="G32" s="36" t="n"/>
    </row>
    <row r="33">
      <c r="A33" s="8" t="inlineStr">
        <is>
          <t>最不利情景</t>
        </is>
      </c>
      <c r="B33" s="8" t="inlineStr">
        <is>
          <t>次日新能源再跌5%后：损失率11.76%，仍≤12%；余量极小，R5触发</t>
        </is>
      </c>
      <c r="C33" s="35" t="n"/>
      <c r="D33" s="35" t="n"/>
      <c r="E33" s="35" t="n"/>
      <c r="F33" s="35" t="n"/>
      <c r="G33" s="36" t="n"/>
    </row>
    <row r="34">
      <c r="A34" s="8" t="inlineStr">
        <is>
          <t>费用口径</t>
        </is>
      </c>
      <c r="B34" s="8" t="inlineStr">
        <is>
          <t>股票0.08%最低5、ETF0.03%最低5；PlanB费用332元；隐含费率332/415,000=0.080%</t>
        </is>
      </c>
      <c r="C34" s="35" t="n"/>
      <c r="D34" s="35" t="n"/>
      <c r="E34" s="35" t="n"/>
      <c r="F34" s="35" t="n"/>
      <c r="G34" s="36" t="n"/>
    </row>
    <row r="35">
      <c r="A35" s="8" t="inlineStr">
        <is>
          <t>跨文件一致</t>
        </is>
      </c>
      <c r="B35" s="8" t="inlineStr">
        <is>
          <t>现金644,668 / 电池权重24.88% / 损失率11.98% 在测算E列与客户说明一致</t>
        </is>
      </c>
      <c r="C35" s="35" t="n"/>
      <c r="D35" s="35" t="n"/>
      <c r="E35" s="35" t="n"/>
      <c r="F35" s="35" t="n"/>
      <c r="G35" s="36" t="n"/>
    </row>
    <row r="36">
      <c r="A36" s="8" t="inlineStr">
        <is>
          <t>可复算性</t>
        </is>
      </c>
      <c r="B36" s="8" t="inlineStr">
        <is>
          <t>改测算sheet浅黄输入区，全表公式自动重算；已用LibreOffice重算无#REF/#VALUE错误</t>
        </is>
      </c>
      <c r="C36" s="35" t="n"/>
      <c r="D36" s="35" t="n"/>
      <c r="E36" s="35" t="n"/>
      <c r="F36" s="35" t="n"/>
      <c r="G36" s="36" t="n"/>
    </row>
    <row r="37">
      <c r="A37" s="8" t="inlineStr">
        <is>
          <t>非执行声明</t>
        </is>
      </c>
      <c r="B37" s="8" t="inlineStr">
        <is>
          <t>仅条件测算，不代下单、不承诺回本；成交价以实盘为准</t>
        </is>
      </c>
      <c r="C37" s="35" t="n"/>
      <c r="D37" s="35" t="n"/>
      <c r="E37" s="35" t="n"/>
      <c r="F37" s="35" t="n"/>
      <c r="G37" s="36" t="n"/>
    </row>
  </sheetData>
  <mergeCells count="16">
    <mergeCell ref="B34:G34"/>
    <mergeCell ref="A1:G1"/>
    <mergeCell ref="B28:G28"/>
    <mergeCell ref="B36:G36"/>
    <mergeCell ref="A8:G8"/>
    <mergeCell ref="A3:G3"/>
    <mergeCell ref="B37:G37"/>
    <mergeCell ref="B31:G31"/>
    <mergeCell ref="B27:G27"/>
    <mergeCell ref="A26:G26"/>
    <mergeCell ref="B32:G32"/>
    <mergeCell ref="A16:G16"/>
    <mergeCell ref="B35:G35"/>
    <mergeCell ref="B30:G30"/>
    <mergeCell ref="B29:G29"/>
    <mergeCell ref="B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2026-09-19T15:59:34Z</dcterms:created>
  <dcterms:modified xmlns:dcterms="http://purl.org/dc/terms/" xmlns:xsi="http://www.w3.org/2001/XMLSchema-instance" xsi:type="dcterms:W3CDTF">2026-09-19T15:59:34Z</dcterms:modified>
</cp:coreProperties>
</file>