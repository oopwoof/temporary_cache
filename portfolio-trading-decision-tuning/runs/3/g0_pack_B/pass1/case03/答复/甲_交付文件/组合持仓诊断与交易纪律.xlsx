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决策摘要" sheetId="1" state="visible" r:id="rId2"/>
    <sheet name="输入_账户" sheetId="2" state="visible" r:id="rId3"/>
    <sheet name="输入_持仓批次" sheetId="3" state="visible" r:id="rId4"/>
    <sheet name="输入_行情状态" sheetId="4" state="visible" r:id="rId5"/>
    <sheet name="输入_风险暴露" sheetId="5" state="visible" r:id="rId6"/>
    <sheet name="勾稽与盈亏" sheetId="6" state="visible" r:id="rId7"/>
    <sheet name="交易日历" sheetId="7" state="visible" r:id="rId8"/>
    <sheet name="交易明细与费用" sheetId="8" state="visible" r:id="rId9"/>
    <sheet name="方案对比" sheetId="9" state="visible" r:id="rId10"/>
    <sheet name="硬约束状态" sheetId="10" state="visible" r:id="rId11"/>
    <sheet name="条件规则" sheetId="11" state="visible" r:id="rId12"/>
    <sheet name="假设与缺失" sheetId="12" state="visible" r:id="rId13"/>
    <sheet name="自检回执" sheetId="13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<sst xmlns="http://schemas.openxmlformats.org/spreadsheetml/2006/main" count="619" uniqueCount="416">
  <si>
    <r>
      <rPr>
        <b val="true"/>
        <sz val="14"/>
        <color rgb="FF1F3864"/>
        <rFont val="Noto Sans CJK SC"/>
        <family val="2"/>
      </rPr>
      <t xml:space="preserve">组合持仓诊断与交易纪律 — 决策摘要（截点 </t>
    </r>
    <r>
      <rPr>
        <b val="true"/>
        <sz val="14"/>
        <color rgb="FF1F3864"/>
        <rFont val="Cambria"/>
        <family val="0"/>
        <charset val="1"/>
      </rPr>
      <t xml:space="preserve">2026-08-14 </t>
    </r>
    <r>
      <rPr>
        <b val="true"/>
        <sz val="14"/>
        <color rgb="FF1F3864"/>
        <rFont val="Noto Sans CJK SC"/>
        <family val="2"/>
      </rPr>
      <t xml:space="preserve">收盘，北京时间）</t>
    </r>
  </si>
  <si>
    <t xml:space="preserve">项</t>
  </si>
  <si>
    <t xml:space="preserve">值</t>
  </si>
  <si>
    <t xml:space="preserve">结论</t>
  </si>
  <si>
    <r>
      <rPr>
        <sz val="11"/>
        <color rgb="FF000000"/>
        <rFont val="Noto Sans CJK SC"/>
        <family val="2"/>
      </rPr>
      <t xml:space="preserve">周一</t>
    </r>
    <r>
      <rPr>
        <sz val="11"/>
        <color rgb="FF000000"/>
        <rFont val="Calibri"/>
        <family val="2"/>
        <charset val="1"/>
      </rPr>
      <t xml:space="preserve">(8/17)</t>
    </r>
    <r>
      <rPr>
        <sz val="11"/>
        <color rgb="FF000000"/>
        <rFont val="Noto Sans CJK SC"/>
        <family val="2"/>
      </rPr>
      <t xml:space="preserve">在仅用可正常成交标的前提下，卖</t>
    </r>
    <r>
      <rPr>
        <sz val="11"/>
        <color rgb="FF000000"/>
        <rFont val="Calibri"/>
        <family val="2"/>
        <charset val="1"/>
      </rPr>
      <t xml:space="preserve">P01 4000</t>
    </r>
    <r>
      <rPr>
        <sz val="11"/>
        <color rgb="FF000000"/>
        <rFont val="Noto Sans CJK SC"/>
        <family val="2"/>
      </rPr>
      <t xml:space="preserve">股</t>
    </r>
    <r>
      <rPr>
        <sz val="11"/>
        <color rgb="FF000000"/>
        <rFont val="Calibri"/>
        <family val="2"/>
        <charset val="1"/>
      </rPr>
      <t xml:space="preserve">+P07 10000</t>
    </r>
    <r>
      <rPr>
        <sz val="11"/>
        <color rgb="FF000000"/>
        <rFont val="Noto Sans CJK SC"/>
        <family val="2"/>
      </rPr>
      <t xml:space="preserve">份</t>
    </r>
    <r>
      <rPr>
        <sz val="11"/>
        <color rgb="FF000000"/>
        <rFont val="Calibri"/>
        <family val="2"/>
        <charset val="1"/>
      </rPr>
      <t xml:space="preserve">+P05 300</t>
    </r>
    <r>
      <rPr>
        <sz val="11"/>
        <color rgb="FF000000"/>
        <rFont val="Noto Sans CJK SC"/>
        <family val="2"/>
      </rPr>
      <t xml:space="preserve">股，即可把科技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高风险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单票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外币全部压回限额，并备妥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万元转出；</t>
    </r>
    <r>
      <rPr>
        <sz val="11"/>
        <color rgb="FF000000"/>
        <rFont val="Calibri"/>
        <family val="2"/>
        <charset val="1"/>
      </rPr>
      <t xml:space="preserve">P02</t>
    </r>
    <r>
      <rPr>
        <sz val="11"/>
        <color rgb="FF000000"/>
        <rFont val="Noto Sans CJK SC"/>
        <family val="2"/>
      </rPr>
      <t xml:space="preserve">跌停、</t>
    </r>
    <r>
      <rPr>
        <sz val="11"/>
        <color rgb="FF000000"/>
        <rFont val="Calibri"/>
        <family val="2"/>
        <charset val="1"/>
      </rPr>
      <t xml:space="preserve">P04</t>
    </r>
    <r>
      <rPr>
        <sz val="11"/>
        <color rgb="FF000000"/>
        <rFont val="Noto Sans CJK SC"/>
        <family val="2"/>
      </rPr>
      <t xml:space="preserve">停牌当日不可卖。</t>
    </r>
  </si>
  <si>
    <t xml:space="preserve">最紧约束</t>
  </si>
  <si>
    <r>
      <rPr>
        <sz val="11"/>
        <color rgb="FF000000"/>
        <rFont val="Noto Sans CJK SC"/>
        <family val="2"/>
      </rPr>
      <t xml:space="preserve">科技主题：当前</t>
    </r>
    <r>
      <rPr>
        <sz val="11"/>
        <color rgb="FF000000"/>
        <rFont val="Calibri"/>
        <family val="2"/>
        <charset val="1"/>
      </rPr>
      <t xml:space="preserve">66.81%</t>
    </r>
    <r>
      <rPr>
        <sz val="11"/>
        <color rgb="FF000000"/>
        <rFont val="Noto Sans CJK SC"/>
        <family val="2"/>
      </rPr>
      <t xml:space="preserve">，限额</t>
    </r>
    <r>
      <rPr>
        <sz val="11"/>
        <color rgb="FF000000"/>
        <rFont val="Calibri"/>
        <family val="2"/>
        <charset val="1"/>
      </rPr>
      <t xml:space="preserve">40%</t>
    </r>
    <r>
      <rPr>
        <sz val="11"/>
        <color rgb="FF000000"/>
        <rFont val="Noto Sans CJK SC"/>
        <family val="2"/>
      </rPr>
      <t xml:space="preserve">，须压降科技市值约</t>
    </r>
    <r>
      <rPr>
        <sz val="11"/>
        <color rgb="FF000000"/>
        <rFont val="Calibri"/>
        <family val="2"/>
        <charset val="1"/>
      </rPr>
      <t xml:space="preserve">29.7</t>
    </r>
    <r>
      <rPr>
        <sz val="11"/>
        <color rgb="FF000000"/>
        <rFont val="Noto Sans CJK SC"/>
        <family val="2"/>
      </rPr>
      <t xml:space="preserve">万元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提款后口径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CJK SC"/>
        <family val="2"/>
      </rPr>
      <t xml:space="preserve">。</t>
    </r>
  </si>
  <si>
    <t xml:space="preserve">首要动作</t>
  </si>
  <si>
    <r>
      <rPr>
        <sz val="11"/>
        <color rgb="FF000000"/>
        <rFont val="Calibri"/>
        <family val="2"/>
        <charset val="1"/>
      </rPr>
      <t xml:space="preserve">8/17</t>
    </r>
    <r>
      <rPr>
        <sz val="11"/>
        <color rgb="FF000000"/>
        <rFont val="Noto Sans CJK SC"/>
        <family val="2"/>
      </rPr>
      <t xml:space="preserve">限价卖</t>
    </r>
    <r>
      <rPr>
        <sz val="11"/>
        <color rgb="FF000000"/>
        <rFont val="Calibri"/>
        <family val="2"/>
        <charset val="1"/>
      </rPr>
      <t xml:space="preserve">P01 4000</t>
    </r>
    <r>
      <rPr>
        <sz val="11"/>
        <color rgb="FF000000"/>
        <rFont val="Noto Sans CJK SC"/>
        <family val="2"/>
      </rPr>
      <t xml:space="preserve">股、</t>
    </r>
    <r>
      <rPr>
        <sz val="11"/>
        <color rgb="FF000000"/>
        <rFont val="Calibri"/>
        <family val="2"/>
        <charset val="1"/>
      </rPr>
      <t xml:space="preserve">P07 10000</t>
    </r>
    <r>
      <rPr>
        <sz val="11"/>
        <color rgb="FF000000"/>
        <rFont val="Noto Sans CJK SC"/>
        <family val="2"/>
      </rPr>
      <t xml:space="preserve">份、</t>
    </r>
    <r>
      <rPr>
        <sz val="11"/>
        <color rgb="FF000000"/>
        <rFont val="Calibri"/>
        <family val="2"/>
        <charset val="1"/>
      </rPr>
      <t xml:space="preserve">P05 300</t>
    </r>
    <r>
      <rPr>
        <sz val="11"/>
        <color rgb="FF000000"/>
        <rFont val="Noto Sans CJK SC"/>
        <family val="2"/>
      </rPr>
      <t xml:space="preserve">股；</t>
    </r>
    <r>
      <rPr>
        <sz val="11"/>
        <color rgb="FF000000"/>
        <rFont val="Calibri"/>
        <family val="2"/>
        <charset val="1"/>
      </rPr>
      <t xml:space="preserve">P02</t>
    </r>
    <r>
      <rPr>
        <sz val="11"/>
        <color rgb="FF000000"/>
        <rFont val="Noto Sans CJK SC"/>
        <family val="2"/>
      </rPr>
      <t xml:space="preserve">若开板可替代部分卖出。</t>
    </r>
  </si>
  <si>
    <t xml:space="preserve">最迟行动日</t>
  </si>
  <si>
    <r>
      <rPr>
        <sz val="11"/>
        <color rgb="FF000000"/>
        <rFont val="Calibri"/>
        <family val="2"/>
        <charset val="1"/>
      </rPr>
      <t xml:space="preserve">2026-08-17(</t>
    </r>
    <r>
      <rPr>
        <sz val="11"/>
        <color rgb="FF000000"/>
        <rFont val="Noto Sans CJK SC"/>
        <family val="2"/>
      </rPr>
      <t xml:space="preserve">周一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CJK SC"/>
        <family val="2"/>
      </rPr>
      <t xml:space="preserve">主路径；</t>
    </r>
    <r>
      <rPr>
        <sz val="11"/>
        <color rgb="FF000000"/>
        <rFont val="Calibri"/>
        <family val="2"/>
        <charset val="1"/>
      </rPr>
      <t xml:space="preserve">P01</t>
    </r>
    <r>
      <rPr>
        <sz val="11"/>
        <color rgb="FF000000"/>
        <rFont val="Noto Sans CJK SC"/>
        <family val="2"/>
      </rPr>
      <t xml:space="preserve">当日买入</t>
    </r>
    <r>
      <rPr>
        <sz val="11"/>
        <color rgb="FF000000"/>
        <rFont val="Calibri"/>
        <family val="2"/>
        <charset val="1"/>
      </rPr>
      <t xml:space="preserve">1000</t>
    </r>
    <r>
      <rPr>
        <sz val="11"/>
        <color rgb="FF000000"/>
        <rFont val="Noto Sans CJK SC"/>
        <family val="2"/>
      </rPr>
      <t xml:space="preserve">股</t>
    </r>
    <r>
      <rPr>
        <sz val="11"/>
        <color rgb="FF000000"/>
        <rFont val="Calibri"/>
        <family val="2"/>
        <charset val="1"/>
      </rPr>
      <t xml:space="preserve">8/18(</t>
    </r>
    <r>
      <rPr>
        <sz val="11"/>
        <color rgb="FF000000"/>
        <rFont val="Noto Sans CJK SC"/>
        <family val="2"/>
      </rPr>
      <t xml:space="preserve">周二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CJK SC"/>
        <family val="2"/>
      </rPr>
      <t xml:space="preserve">解禁为后手。</t>
    </r>
  </si>
  <si>
    <t xml:space="preserve">未决事项</t>
  </si>
  <si>
    <r>
      <rPr>
        <sz val="11"/>
        <color rgb="FF000000"/>
        <rFont val="Noto Sans CJK SC"/>
        <family val="2"/>
      </rPr>
      <t xml:space="preserve">①手工总资产</t>
    </r>
    <r>
      <rPr>
        <sz val="11"/>
        <color rgb="FF000000"/>
        <rFont val="Calibri"/>
        <family val="2"/>
        <charset val="1"/>
      </rPr>
      <t xml:space="preserve">1,029,000</t>
    </r>
    <r>
      <rPr>
        <sz val="11"/>
        <color rgb="FF000000"/>
        <rFont val="Noto Sans CJK SC"/>
        <family val="2"/>
      </rPr>
      <t xml:space="preserve">与托管</t>
    </r>
    <r>
      <rPr>
        <sz val="11"/>
        <color rgb="FF000000"/>
        <rFont val="Calibri"/>
        <family val="2"/>
        <charset val="1"/>
      </rPr>
      <t xml:space="preserve">1,032,660</t>
    </r>
    <r>
      <rPr>
        <sz val="11"/>
        <color rgb="FF000000"/>
        <rFont val="Noto Sans CJK SC"/>
        <family val="2"/>
      </rPr>
      <t xml:space="preserve">差</t>
    </r>
    <r>
      <rPr>
        <sz val="11"/>
        <color rgb="FF000000"/>
        <rFont val="Calibri"/>
        <family val="2"/>
        <charset val="1"/>
      </rPr>
      <t xml:space="preserve">3,660</t>
    </r>
    <r>
      <rPr>
        <sz val="11"/>
        <color rgb="FF000000"/>
        <rFont val="Noto Sans CJK SC"/>
        <family val="2"/>
      </rPr>
      <t xml:space="preserve">无法分解；②</t>
    </r>
    <r>
      <rPr>
        <sz val="11"/>
        <color rgb="FF000000"/>
        <rFont val="Calibri"/>
        <family val="2"/>
        <charset val="1"/>
      </rPr>
      <t xml:space="preserve">P04</t>
    </r>
    <r>
      <rPr>
        <sz val="11"/>
        <color rgb="FF000000"/>
        <rFont val="Noto Sans CJK SC"/>
        <family val="2"/>
      </rPr>
      <t xml:space="preserve">复牌日未定；③</t>
    </r>
    <r>
      <rPr>
        <sz val="11"/>
        <color rgb="FF000000"/>
        <rFont val="Calibri"/>
        <family val="2"/>
        <charset val="1"/>
      </rPr>
      <t xml:space="preserve">P07</t>
    </r>
    <r>
      <rPr>
        <sz val="11"/>
        <color rgb="FF000000"/>
        <rFont val="Noto Sans CJK SC"/>
        <family val="2"/>
      </rPr>
      <t xml:space="preserve">结算币种需券商确认。</t>
    </r>
  </si>
  <si>
    <t xml:space="preserve">指标</t>
  </si>
  <si>
    <r>
      <rPr>
        <b val="true"/>
        <sz val="11"/>
        <color rgb="FFFFFFFF"/>
        <rFont val="Noto Sans CJK SC"/>
        <family val="2"/>
      </rPr>
      <t xml:space="preserve">当前值</t>
    </r>
    <r>
      <rPr>
        <b val="true"/>
        <sz val="11"/>
        <color rgb="FFFFFFFF"/>
        <rFont val="Cambria"/>
        <family val="0"/>
        <charset val="1"/>
      </rPr>
      <t xml:space="preserve">(8/14)</t>
    </r>
  </si>
  <si>
    <t xml:space="preserve">限额</t>
  </si>
  <si>
    <r>
      <rPr>
        <b val="true"/>
        <sz val="11"/>
        <color rgb="FFFFFFFF"/>
        <rFont val="Noto Sans CJK SC"/>
        <family val="2"/>
      </rPr>
      <t xml:space="preserve">主路径交易</t>
    </r>
    <r>
      <rPr>
        <b val="true"/>
        <sz val="11"/>
        <color rgb="FFFFFFFF"/>
        <rFont val="Cambria"/>
        <family val="0"/>
        <charset val="1"/>
      </rPr>
      <t xml:space="preserve">+</t>
    </r>
    <r>
      <rPr>
        <b val="true"/>
        <sz val="11"/>
        <color rgb="FFFFFFFF"/>
        <rFont val="Noto Sans CJK SC"/>
        <family val="2"/>
      </rPr>
      <t xml:space="preserve">提款后</t>
    </r>
  </si>
  <si>
    <t xml:space="preserve">判定</t>
  </si>
  <si>
    <t xml:space="preserve">科技主题占比</t>
  </si>
  <si>
    <t xml:space="preserve">≤40%</t>
  </si>
  <si>
    <t xml:space="preserve">高风险持仓占比</t>
  </si>
  <si>
    <t xml:space="preserve">≤45%</t>
  </si>
  <si>
    <r>
      <rPr>
        <sz val="11"/>
        <color rgb="FF000000"/>
        <rFont val="Noto Sans CJK SC"/>
        <family val="2"/>
      </rPr>
      <t xml:space="preserve">最大单票</t>
    </r>
    <r>
      <rPr>
        <sz val="11"/>
        <color rgb="FF000000"/>
        <rFont val="Calibri"/>
        <family val="2"/>
        <charset val="1"/>
      </rPr>
      <t xml:space="preserve">(P05)</t>
    </r>
  </si>
  <si>
    <t xml:space="preserve">≤20%</t>
  </si>
  <si>
    <t xml:space="preserve">外币资产占比</t>
  </si>
  <si>
    <t xml:space="preserve">≤15%</t>
  </si>
  <si>
    <t xml:space="preserve">现金类占比</t>
  </si>
  <si>
    <t xml:space="preserve">≥10%</t>
  </si>
  <si>
    <r>
      <rPr>
        <i val="true"/>
        <sz val="11"/>
        <color rgb="FFC00000"/>
        <rFont val="Noto Sans CJK SC"/>
        <family val="2"/>
      </rPr>
      <t xml:space="preserve">本工作簿仅用于调仓前分析，不代表已下单；不保证回本或收益；价格为</t>
    </r>
    <r>
      <rPr>
        <i val="true"/>
        <sz val="11"/>
        <color rgb="FFC00000"/>
        <rFont val="Cambria"/>
        <family val="0"/>
        <charset val="1"/>
      </rPr>
      <t xml:space="preserve">8/14</t>
    </r>
    <r>
      <rPr>
        <i val="true"/>
        <sz val="11"/>
        <color rgb="FFC00000"/>
        <rFont val="Noto Sans CJK SC"/>
        <family val="2"/>
      </rPr>
      <t xml:space="preserve">收盘，周一按实际报价重算数量。</t>
    </r>
  </si>
  <si>
    <t xml:space="preserve">字段</t>
  </si>
  <si>
    <t xml:space="preserve">数值</t>
  </si>
  <si>
    <t xml:space="preserve">币种或单位</t>
  </si>
  <si>
    <t xml:space="preserve">记录时间</t>
  </si>
  <si>
    <t xml:space="preserve">来源</t>
  </si>
  <si>
    <t xml:space="preserve">证券市值小计</t>
  </si>
  <si>
    <t xml:space="preserve">人民币元</t>
  </si>
  <si>
    <t xml:space="preserve">2026-08-14 15:05</t>
  </si>
  <si>
    <t xml:space="preserve">托管系统</t>
  </si>
  <si>
    <t xml:space="preserve">人民币可用现金</t>
  </si>
  <si>
    <t xml:space="preserve">资金系统</t>
  </si>
  <si>
    <t xml:space="preserve">美元现金</t>
  </si>
  <si>
    <t xml:space="preserve">美元</t>
  </si>
  <si>
    <t xml:space="preserve">美元兑人民币折算汇率</t>
  </si>
  <si>
    <r>
      <rPr>
        <sz val="11"/>
        <color rgb="FF000000"/>
        <rFont val="Noto Sans CJK SC"/>
        <family val="2"/>
      </rPr>
      <t xml:space="preserve">人民币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美元</t>
    </r>
  </si>
  <si>
    <t xml:space="preserve">2026-08-14 15:00</t>
  </si>
  <si>
    <t xml:space="preserve">内部估值表</t>
  </si>
  <si>
    <t xml:space="preserve">待扣费用</t>
  </si>
  <si>
    <t xml:space="preserve">账户总资产记录</t>
  </si>
  <si>
    <t xml:space="preserve">组合经理手工记录总资产</t>
  </si>
  <si>
    <t xml:space="preserve">2026-08-14 15:10</t>
  </si>
  <si>
    <t xml:space="preserve">组合工作表</t>
  </si>
  <si>
    <t xml:space="preserve">本周计划净流出</t>
  </si>
  <si>
    <t xml:space="preserve">2026-08-17</t>
  </si>
  <si>
    <t xml:space="preserve">客户已确认</t>
  </si>
  <si>
    <r>
      <rPr>
        <b val="true"/>
        <sz val="11"/>
        <color rgb="FFFFFFFF"/>
        <rFont val="Noto Sans CJK SC"/>
        <family val="2"/>
      </rPr>
      <t xml:space="preserve">证券</t>
    </r>
    <r>
      <rPr>
        <b val="true"/>
        <sz val="11"/>
        <color rgb="FFFFFFFF"/>
        <rFont val="Cambria"/>
        <family val="0"/>
        <charset val="1"/>
      </rPr>
      <t xml:space="preserve">ID</t>
    </r>
  </si>
  <si>
    <t xml:space="preserve">证券类型</t>
  </si>
  <si>
    <t xml:space="preserve">行业或主题</t>
  </si>
  <si>
    <t xml:space="preserve">批次日期</t>
  </si>
  <si>
    <t xml:space="preserve">数量</t>
  </si>
  <si>
    <t xml:space="preserve">单位成本</t>
  </si>
  <si>
    <t xml:space="preserve">成本币种</t>
  </si>
  <si>
    <t xml:space="preserve">是否当日买入</t>
  </si>
  <si>
    <t xml:space="preserve">当前价格</t>
  </si>
  <si>
    <t xml:space="preserve">价格币种</t>
  </si>
  <si>
    <t xml:space="preserve">P01</t>
  </si>
  <si>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CJK SC"/>
        <family val="2"/>
      </rPr>
      <t xml:space="preserve">股</t>
    </r>
  </si>
  <si>
    <t xml:space="preserve">电子</t>
  </si>
  <si>
    <t xml:space="preserve">2026-05-10</t>
  </si>
  <si>
    <t xml:space="preserve">人民币</t>
  </si>
  <si>
    <t xml:space="preserve">否</t>
  </si>
  <si>
    <t xml:space="preserve">2026-07-02</t>
  </si>
  <si>
    <t xml:space="preserve">2026-08-14</t>
  </si>
  <si>
    <t xml:space="preserve">是</t>
  </si>
  <si>
    <t xml:space="preserve">P02</t>
  </si>
  <si>
    <t xml:space="preserve">计算机</t>
  </si>
  <si>
    <t xml:space="preserve">2026-03-18</t>
  </si>
  <si>
    <t xml:space="preserve">P03</t>
  </si>
  <si>
    <t xml:space="preserve">医药</t>
  </si>
  <si>
    <t xml:space="preserve">2026-04-11</t>
  </si>
  <si>
    <t xml:space="preserve">P04</t>
  </si>
  <si>
    <t xml:space="preserve">工业</t>
  </si>
  <si>
    <t xml:space="preserve">2026-01-20</t>
  </si>
  <si>
    <t xml:space="preserve">P05</t>
  </si>
  <si>
    <t xml:space="preserve">2025-12-05</t>
  </si>
  <si>
    <t xml:space="preserve">P06</t>
  </si>
  <si>
    <r>
      <rPr>
        <sz val="11"/>
        <color rgb="FF000000"/>
        <rFont val="Noto Sans CJK SC"/>
        <family val="2"/>
      </rPr>
      <t xml:space="preserve">境内</t>
    </r>
    <r>
      <rPr>
        <sz val="11"/>
        <color rgb="FF000000"/>
        <rFont val="Calibri"/>
        <family val="2"/>
        <charset val="1"/>
      </rPr>
      <t xml:space="preserve">ETF</t>
    </r>
  </si>
  <si>
    <t xml:space="preserve">红利</t>
  </si>
  <si>
    <t xml:space="preserve">2026-02-06</t>
  </si>
  <si>
    <t xml:space="preserve">P07</t>
  </si>
  <si>
    <r>
      <rPr>
        <sz val="11"/>
        <color rgb="FF000000"/>
        <rFont val="Noto Sans CJK SC"/>
        <family val="2"/>
      </rPr>
      <t xml:space="preserve">港股</t>
    </r>
    <r>
      <rPr>
        <sz val="11"/>
        <color rgb="FF000000"/>
        <rFont val="Calibri"/>
        <family val="2"/>
        <charset val="1"/>
      </rPr>
      <t xml:space="preserve">ETF</t>
    </r>
  </si>
  <si>
    <t xml:space="preserve">海外科技</t>
  </si>
  <si>
    <t xml:space="preserve">2026-06-16</t>
  </si>
  <si>
    <t xml:space="preserve">港币</t>
  </si>
  <si>
    <t xml:space="preserve">市场</t>
  </si>
  <si>
    <t xml:space="preserve">最新价格</t>
  </si>
  <si>
    <t xml:space="preserve">币种</t>
  </si>
  <si>
    <t xml:space="preserve">价格时间</t>
  </si>
  <si>
    <t xml:space="preserve">交易状态</t>
  </si>
  <si>
    <t xml:space="preserve">涨跌停状态</t>
  </si>
  <si>
    <t xml:space="preserve">当日买入数量</t>
  </si>
  <si>
    <t xml:space="preserve">可卖数量</t>
  </si>
  <si>
    <t xml:space="preserve">最小交易单位</t>
  </si>
  <si>
    <r>
      <rPr>
        <b val="true"/>
        <sz val="11"/>
        <color rgb="FFFFFFFF"/>
        <rFont val="Cambria"/>
        <family val="0"/>
        <charset val="1"/>
      </rPr>
      <t xml:space="preserve">20</t>
    </r>
    <r>
      <rPr>
        <b val="true"/>
        <sz val="11"/>
        <color rgb="FFFFFFFF"/>
        <rFont val="Noto Sans CJK SC"/>
        <family val="2"/>
      </rPr>
      <t xml:space="preserve">日平均成交额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万元</t>
    </r>
  </si>
  <si>
    <t xml:space="preserve">说明</t>
  </si>
  <si>
    <t xml:space="preserve">沪深</t>
  </si>
  <si>
    <t xml:space="preserve">正常</t>
  </si>
  <si>
    <t xml:space="preserve">无</t>
  </si>
  <si>
    <r>
      <rPr>
        <sz val="11"/>
        <color rgb="FF000000"/>
        <rFont val="Noto Sans CJK SC"/>
        <family val="2"/>
      </rPr>
      <t xml:space="preserve">当日买入部分按</t>
    </r>
    <r>
      <rPr>
        <sz val="11"/>
        <color rgb="FF000000"/>
        <rFont val="Calibri"/>
        <family val="2"/>
        <charset val="1"/>
      </rPr>
      <t xml:space="preserve">T+1</t>
    </r>
    <r>
      <rPr>
        <sz val="11"/>
        <color rgb="FF000000"/>
        <rFont val="Noto Sans CJK SC"/>
        <family val="2"/>
      </rPr>
      <t xml:space="preserve">管理</t>
    </r>
  </si>
  <si>
    <t xml:space="preserve">跌停</t>
  </si>
  <si>
    <t xml:space="preserve">收盘封单，次日成交不确定</t>
  </si>
  <si>
    <t xml:space="preserve">2026-08-13 15:00</t>
  </si>
  <si>
    <t xml:space="preserve">停牌</t>
  </si>
  <si>
    <t xml:space="preserve">不适用</t>
  </si>
  <si>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Noto Sans CJK SC"/>
        <family val="2"/>
      </rPr>
      <t xml:space="preserve">日全天停牌，复牌日未确定</t>
    </r>
  </si>
  <si>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CJK SC"/>
        <family val="2"/>
      </rPr>
      <t xml:space="preserve">日每份现金分配</t>
    </r>
    <r>
      <rPr>
        <sz val="11"/>
        <color rgb="FF000000"/>
        <rFont val="Calibri"/>
        <family val="2"/>
        <charset val="1"/>
      </rPr>
      <t xml:space="preserve">0.80</t>
    </r>
    <r>
      <rPr>
        <sz val="11"/>
        <color rgb="FF000000"/>
        <rFont val="Noto Sans CJK SC"/>
        <family val="2"/>
      </rPr>
      <t xml:space="preserve">元；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CJK SC"/>
        <family val="2"/>
      </rPr>
      <t xml:space="preserve">日未调整收盘</t>
    </r>
    <r>
      <rPr>
        <sz val="11"/>
        <color rgb="FF000000"/>
        <rFont val="Calibri"/>
        <family val="2"/>
        <charset val="1"/>
      </rPr>
      <t xml:space="preserve">3.68</t>
    </r>
    <r>
      <rPr>
        <sz val="11"/>
        <color rgb="FF000000"/>
        <rFont val="Noto Sans CJK SC"/>
        <family val="2"/>
      </rPr>
      <t xml:space="preserve">，调整后参考价</t>
    </r>
    <r>
      <rPr>
        <sz val="11"/>
        <color rgb="FF000000"/>
        <rFont val="Calibri"/>
        <family val="2"/>
        <charset val="1"/>
      </rPr>
      <t xml:space="preserve">2.88</t>
    </r>
  </si>
  <si>
    <t xml:space="preserve">香港</t>
  </si>
  <si>
    <t xml:space="preserve">2026-08-14 16:00</t>
  </si>
  <si>
    <r>
      <rPr>
        <sz val="11"/>
        <color rgb="FF000000"/>
        <rFont val="Noto Sans CJK SC"/>
        <family val="2"/>
      </rPr>
      <t xml:space="preserve">港币兑人民币估值汇率</t>
    </r>
    <r>
      <rPr>
        <sz val="11"/>
        <color rgb="FF000000"/>
        <rFont val="Calibri"/>
        <family val="2"/>
        <charset val="1"/>
      </rPr>
      <t xml:space="preserve">0.92</t>
    </r>
  </si>
  <si>
    <t xml:space="preserve">风险分类</t>
  </si>
  <si>
    <t xml:space="preserve">组合分组</t>
  </si>
  <si>
    <r>
      <rPr>
        <b val="true"/>
        <sz val="11"/>
        <color rgb="FFFFFFFF"/>
        <rFont val="Noto Sans CJK SC"/>
        <family val="2"/>
      </rPr>
      <t xml:space="preserve">近</t>
    </r>
    <r>
      <rPr>
        <b val="true"/>
        <sz val="11"/>
        <color rgb="FFFFFFFF"/>
        <rFont val="Cambria"/>
        <family val="0"/>
        <charset val="1"/>
      </rPr>
      <t xml:space="preserve">60</t>
    </r>
    <r>
      <rPr>
        <b val="true"/>
        <sz val="11"/>
        <color rgb="FFFFFFFF"/>
        <rFont val="Noto Sans CJK SC"/>
        <family val="2"/>
      </rPr>
      <t xml:space="preserve">日波动率</t>
    </r>
  </si>
  <si>
    <t xml:space="preserve">内部风险等级</t>
  </si>
  <si>
    <r>
      <rPr>
        <b val="true"/>
        <sz val="11"/>
        <color rgb="FFFFFFFF"/>
        <rFont val="Noto Sans CJK SC"/>
        <family val="2"/>
      </rPr>
      <t xml:space="preserve">与</t>
    </r>
    <r>
      <rPr>
        <b val="true"/>
        <sz val="11"/>
        <color rgb="FFFFFFFF"/>
        <rFont val="Cambria"/>
        <family val="0"/>
        <charset val="1"/>
      </rPr>
      <t xml:space="preserve">P05</t>
    </r>
    <r>
      <rPr>
        <b val="true"/>
        <sz val="11"/>
        <color rgb="FFFFFFFF"/>
        <rFont val="Noto Sans CJK SC"/>
        <family val="2"/>
      </rPr>
      <t xml:space="preserve">相关系数</t>
    </r>
  </si>
  <si>
    <t xml:space="preserve">是否外币暴露</t>
  </si>
  <si>
    <t xml:space="preserve">成长</t>
  </si>
  <si>
    <t xml:space="preserve">科技</t>
  </si>
  <si>
    <t xml:space="preserve">高</t>
  </si>
  <si>
    <t xml:space="preserve">防御</t>
  </si>
  <si>
    <t xml:space="preserve">中</t>
  </si>
  <si>
    <t xml:space="preserve">周期</t>
  </si>
  <si>
    <t xml:space="preserve">低</t>
  </si>
  <si>
    <t xml:space="preserve">中高</t>
  </si>
  <si>
    <r>
      <rPr>
        <b val="true"/>
        <sz val="14"/>
        <color rgb="FF1F3864"/>
        <rFont val="Noto Sans CJK SC"/>
        <family val="2"/>
      </rPr>
      <t xml:space="preserve">账户勾稽、批次成本与浮动盈亏（口径：人民币元；</t>
    </r>
    <r>
      <rPr>
        <b val="true"/>
        <sz val="14"/>
        <color rgb="FF1F3864"/>
        <rFont val="Cambria"/>
        <family val="0"/>
        <charset val="1"/>
      </rPr>
      <t xml:space="preserve">P07</t>
    </r>
    <r>
      <rPr>
        <b val="true"/>
        <sz val="14"/>
        <color rgb="FF1F3864"/>
        <rFont val="Noto Sans CJK SC"/>
        <family val="2"/>
      </rPr>
      <t xml:space="preserve">按</t>
    </r>
    <r>
      <rPr>
        <b val="true"/>
        <sz val="14"/>
        <color rgb="FF1F3864"/>
        <rFont val="Cambria"/>
        <family val="0"/>
        <charset val="1"/>
      </rPr>
      <t xml:space="preserve">0.92</t>
    </r>
    <r>
      <rPr>
        <b val="true"/>
        <sz val="14"/>
        <color rgb="FF1F3864"/>
        <rFont val="Noto Sans CJK SC"/>
        <family val="2"/>
      </rPr>
      <t xml:space="preserve">折算）</t>
    </r>
  </si>
  <si>
    <t xml:space="preserve">一、两套总资产勾稽</t>
  </si>
  <si>
    <t xml:space="preserve">项目</t>
  </si>
  <si>
    <r>
      <rPr>
        <b val="true"/>
        <sz val="11"/>
        <color rgb="FFFFFFFF"/>
        <rFont val="Noto Sans CJK SC"/>
        <family val="2"/>
      </rPr>
      <t xml:space="preserve">公式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口径</t>
    </r>
  </si>
  <si>
    <r>
      <rPr>
        <b val="true"/>
        <sz val="11"/>
        <color rgb="FFFFFFFF"/>
        <rFont val="Noto Sans CJK SC"/>
        <family val="2"/>
      </rPr>
      <t xml:space="preserve">金额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元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</si>
  <si>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美元现金折人民币</t>
  </si>
  <si>
    <t xml:space="preserve">3000×7.18</t>
  </si>
  <si>
    <t xml:space="preserve">减：待扣费用</t>
  </si>
  <si>
    <r>
      <rPr>
        <sz val="11"/>
        <color rgb="FF000000"/>
        <rFont val="Noto Sans CJK SC"/>
        <family val="2"/>
      </rPr>
      <t xml:space="preserve">托管锚总资产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净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</si>
  <si>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市值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人民币现金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美元折汇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</rPr>
      <t xml:space="preserve">待扣</t>
    </r>
  </si>
  <si>
    <t xml:space="preserve">托管系统账面记录</t>
  </si>
  <si>
    <r>
      <rPr>
        <sz val="11"/>
        <color rgb="FF000000"/>
        <rFont val="Noto Sans CJK SC"/>
        <family val="2"/>
      </rPr>
      <t xml:space="preserve">勾稽残差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计算值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</rPr>
      <t xml:space="preserve">账面记录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</si>
  <si>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应</t>
    </r>
    <r>
      <rPr>
        <sz val="11"/>
        <color rgb="FF000000"/>
        <rFont val="Calibri"/>
        <family val="2"/>
        <charset val="1"/>
      </rPr>
      <t xml:space="preserve">=0</t>
    </r>
  </si>
  <si>
    <t xml:space="preserve">组合经理手工锚总资产</t>
  </si>
  <si>
    <r>
      <rPr>
        <sz val="11"/>
        <color rgb="FF000000"/>
        <rFont val="Noto Sans CJK SC"/>
        <family val="2"/>
      </rPr>
      <t xml:space="preserve">两锚差额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托管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</rPr>
      <t xml:space="preserve">手工</t>
    </r>
    <r>
      <rPr>
        <sz val="11"/>
        <color rgb="FF000000"/>
        <rFont val="Calibri"/>
        <family val="2"/>
        <charset val="1"/>
      </rPr>
      <t xml:space="preserve">)</t>
    </r>
  </si>
  <si>
    <t xml:space="preserve">无法从附件分解</t>
  </si>
  <si>
    <r>
      <rPr>
        <i val="true"/>
        <sz val="11"/>
        <color rgb="FFC00000"/>
        <rFont val="Noto Sans CJK SC"/>
        <family val="2"/>
      </rPr>
      <t xml:space="preserve">采用口径：以可逐项勾稽的托管锚</t>
    </r>
    <r>
      <rPr>
        <i val="true"/>
        <sz val="11"/>
        <color rgb="FFC00000"/>
        <rFont val="Cambria"/>
        <family val="0"/>
        <charset val="1"/>
      </rPr>
      <t xml:space="preserve">(</t>
    </r>
    <r>
      <rPr>
        <i val="true"/>
        <sz val="11"/>
        <color rgb="FFC00000"/>
        <rFont val="Noto Sans CJK SC"/>
        <family val="2"/>
      </rPr>
      <t xml:space="preserve">净</t>
    </r>
    <r>
      <rPr>
        <i val="true"/>
        <sz val="11"/>
        <color rgb="FFC00000"/>
        <rFont val="Cambria"/>
        <family val="0"/>
        <charset val="1"/>
      </rPr>
      <t xml:space="preserve">, C9)</t>
    </r>
    <r>
      <rPr>
        <i val="true"/>
        <sz val="11"/>
        <color rgb="FFC00000"/>
        <rFont val="Noto Sans CJK SC"/>
        <family val="2"/>
      </rPr>
      <t xml:space="preserve">为分母；手工锚差额</t>
    </r>
    <r>
      <rPr>
        <i val="true"/>
        <sz val="11"/>
        <color rgb="FFC00000"/>
        <rFont val="Cambria"/>
        <family val="0"/>
        <charset val="1"/>
      </rPr>
      <t xml:space="preserve">3,660</t>
    </r>
    <r>
      <rPr>
        <i val="true"/>
        <sz val="11"/>
        <color rgb="FFC00000"/>
        <rFont val="Noto Sans CJK SC"/>
        <family val="2"/>
      </rPr>
      <t xml:space="preserve">元列入假设与缺失清单，不抹平。</t>
    </r>
  </si>
  <si>
    <t xml:space="preserve">二、逐标的成本、市值与浮动盈亏</t>
  </si>
  <si>
    <r>
      <rPr>
        <b val="true"/>
        <sz val="11"/>
        <color rgb="FFFFFFFF"/>
        <rFont val="Noto Sans CJK SC"/>
        <family val="2"/>
      </rPr>
      <t xml:space="preserve">行业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主题</t>
    </r>
  </si>
  <si>
    <t xml:space="preserve">总数量</t>
  </si>
  <si>
    <t xml:space="preserve">原币现价</t>
  </si>
  <si>
    <r>
      <rPr>
        <b val="true"/>
        <sz val="11"/>
        <color rgb="FFFFFFFF"/>
        <rFont val="Noto Sans CJK SC"/>
        <family val="2"/>
      </rPr>
      <t xml:space="preserve">折算</t>
    </r>
    <r>
      <rPr>
        <b val="true"/>
        <sz val="11"/>
        <color rgb="FFFFFFFF"/>
        <rFont val="Cambria"/>
        <family val="0"/>
        <charset val="1"/>
      </rPr>
      <t xml:space="preserve">RMB</t>
    </r>
    <r>
      <rPr>
        <b val="true"/>
        <sz val="11"/>
        <color rgb="FFFFFFFF"/>
        <rFont val="Noto Sans CJK SC"/>
        <family val="2"/>
      </rPr>
      <t xml:space="preserve">单价</t>
    </r>
  </si>
  <si>
    <r>
      <rPr>
        <b val="true"/>
        <sz val="11"/>
        <color rgb="FFFFFFFF"/>
        <rFont val="Noto Sans CJK SC"/>
        <family val="2"/>
      </rPr>
      <t xml:space="preserve">市值</t>
    </r>
    <r>
      <rPr>
        <b val="true"/>
        <sz val="11"/>
        <color rgb="FFFFFFFF"/>
        <rFont val="Cambria"/>
        <family val="0"/>
        <charset val="1"/>
      </rPr>
      <t xml:space="preserve">RMB</t>
    </r>
  </si>
  <si>
    <r>
      <rPr>
        <b val="true"/>
        <sz val="11"/>
        <color rgb="FFFFFFFF"/>
        <rFont val="Noto Sans CJK SC"/>
        <family val="2"/>
      </rPr>
      <t xml:space="preserve">总成本</t>
    </r>
    <r>
      <rPr>
        <b val="true"/>
        <sz val="11"/>
        <color rgb="FFFFFFFF"/>
        <rFont val="Cambria"/>
        <family val="0"/>
        <charset val="1"/>
      </rPr>
      <t xml:space="preserve">RMB</t>
    </r>
  </si>
  <si>
    <r>
      <rPr>
        <b val="true"/>
        <sz val="11"/>
        <color rgb="FFFFFFFF"/>
        <rFont val="Noto Sans CJK SC"/>
        <family val="2"/>
      </rPr>
      <t xml:space="preserve">浮动盈亏</t>
    </r>
    <r>
      <rPr>
        <b val="true"/>
        <sz val="11"/>
        <color rgb="FFFFFFFF"/>
        <rFont val="Cambria"/>
        <family val="0"/>
        <charset val="1"/>
      </rPr>
      <t xml:space="preserve">RMB</t>
    </r>
  </si>
  <si>
    <t xml:space="preserve">成本口径</t>
  </si>
  <si>
    <r>
      <rPr>
        <sz val="11"/>
        <color rgb="FF000000"/>
        <rFont val="Noto Sans CJK SC"/>
        <family val="2"/>
      </rPr>
      <t xml:space="preserve">三批加权成本，当日买入</t>
    </r>
    <r>
      <rPr>
        <sz val="11"/>
        <color rgb="FF000000"/>
        <rFont val="Calibri"/>
        <family val="2"/>
        <charset val="1"/>
      </rPr>
      <t xml:space="preserve">1000</t>
    </r>
    <r>
      <rPr>
        <sz val="11"/>
        <color rgb="FF000000"/>
        <rFont val="Noto Sans CJK SC"/>
        <family val="2"/>
      </rPr>
      <t xml:space="preserve">股</t>
    </r>
    <r>
      <rPr>
        <sz val="11"/>
        <color rgb="FF000000"/>
        <rFont val="Calibri"/>
        <family val="2"/>
        <charset val="1"/>
      </rPr>
      <t xml:space="preserve">T+1</t>
    </r>
    <r>
      <rPr>
        <sz val="11"/>
        <color rgb="FF000000"/>
        <rFont val="Noto Sans CJK SC"/>
        <family val="2"/>
      </rPr>
      <t xml:space="preserve">不可卖</t>
    </r>
  </si>
  <si>
    <r>
      <rPr>
        <sz val="11"/>
        <color rgb="FF000000"/>
        <rFont val="Noto Sans CJK SC"/>
        <family val="2"/>
      </rPr>
      <t xml:space="preserve">正常，</t>
    </r>
    <r>
      <rPr>
        <sz val="11"/>
        <color rgb="FF000000"/>
        <rFont val="Calibri"/>
        <family val="2"/>
        <charset val="1"/>
      </rPr>
      <t xml:space="preserve">8/14</t>
    </r>
    <r>
      <rPr>
        <sz val="11"/>
        <color rgb="FF000000"/>
        <rFont val="Noto Sans CJK SC"/>
        <family val="2"/>
      </rPr>
      <t xml:space="preserve">收盘跌停封单</t>
    </r>
  </si>
  <si>
    <r>
      <rPr>
        <sz val="11"/>
        <color rgb="FF000000"/>
        <rFont val="Calibri"/>
        <family val="2"/>
        <charset val="1"/>
      </rPr>
      <t xml:space="preserve">8/14</t>
    </r>
    <r>
      <rPr>
        <sz val="11"/>
        <color rgb="FF000000"/>
        <rFont val="Noto Sans CJK SC"/>
        <family val="2"/>
      </rPr>
      <t xml:space="preserve">停牌，用</t>
    </r>
    <r>
      <rPr>
        <sz val="11"/>
        <color rgb="FF000000"/>
        <rFont val="Calibri"/>
        <family val="2"/>
        <charset val="1"/>
      </rPr>
      <t xml:space="preserve">8/13</t>
    </r>
    <r>
      <rPr>
        <sz val="11"/>
        <color rgb="FF000000"/>
        <rFont val="Noto Sans CJK SC"/>
        <family val="2"/>
      </rPr>
      <t xml:space="preserve">价，不可卖</t>
    </r>
  </si>
  <si>
    <r>
      <rPr>
        <sz val="11"/>
        <color rgb="FF000000"/>
        <rFont val="Noto Sans CJK SC"/>
        <family val="2"/>
      </rPr>
      <t xml:space="preserve">成本已除息：</t>
    </r>
    <r>
      <rPr>
        <sz val="11"/>
        <color rgb="FF000000"/>
        <rFont val="Calibri"/>
        <family val="2"/>
        <charset val="1"/>
      </rPr>
      <t xml:space="preserve">(3.10-0.80)=2.30</t>
    </r>
    <r>
      <rPr>
        <sz val="11"/>
        <color rgb="FF000000"/>
        <rFont val="Noto Sans CJK SC"/>
        <family val="2"/>
      </rPr>
      <t xml:space="preserve">；股息</t>
    </r>
    <r>
      <rPr>
        <sz val="11"/>
        <color rgb="FF000000"/>
        <rFont val="Calibri"/>
        <family val="2"/>
        <charset val="1"/>
      </rPr>
      <t xml:space="preserve">8000</t>
    </r>
    <r>
      <rPr>
        <sz val="11"/>
        <color rgb="FF000000"/>
        <rFont val="Noto Sans CJK SC"/>
        <family val="2"/>
      </rPr>
      <t xml:space="preserve">元已入现金</t>
    </r>
  </si>
  <si>
    <r>
      <rPr>
        <sz val="11"/>
        <color rgb="FF000000"/>
        <rFont val="Noto Sans CJK SC"/>
        <family val="2"/>
      </rPr>
      <t xml:space="preserve">港币按</t>
    </r>
    <r>
      <rPr>
        <sz val="11"/>
        <color rgb="FF000000"/>
        <rFont val="Calibri"/>
        <family val="2"/>
        <charset val="1"/>
      </rPr>
      <t xml:space="preserve">0.92</t>
    </r>
    <r>
      <rPr>
        <sz val="11"/>
        <color rgb="FF000000"/>
        <rFont val="Noto Sans CJK SC"/>
        <family val="2"/>
      </rPr>
      <t xml:space="preserve">折人民币</t>
    </r>
  </si>
  <si>
    <t xml:space="preserve">合计</t>
  </si>
  <si>
    <r>
      <rPr>
        <i val="true"/>
        <sz val="11"/>
        <rFont val="Noto Sans CJK SC"/>
        <family val="2"/>
      </rPr>
      <t xml:space="preserve">校验：市值合计应</t>
    </r>
    <r>
      <rPr>
        <i val="true"/>
        <sz val="11"/>
        <rFont val="Cambria"/>
        <family val="0"/>
        <charset val="1"/>
      </rPr>
      <t xml:space="preserve">=</t>
    </r>
    <r>
      <rPr>
        <i val="true"/>
        <sz val="11"/>
        <rFont val="Noto Sans CJK SC"/>
        <family val="2"/>
      </rPr>
      <t xml:space="preserve">托管证券市值小计</t>
    </r>
    <r>
      <rPr>
        <i val="true"/>
        <sz val="11"/>
        <rFont val="Cambria"/>
        <family val="0"/>
        <charset val="1"/>
      </rPr>
      <t xml:space="preserve">869,820</t>
    </r>
  </si>
  <si>
    <r>
      <rPr>
        <b val="true"/>
        <sz val="11"/>
        <color rgb="FF1F3864"/>
        <rFont val="Noto Sans CJK SC"/>
        <family val="2"/>
      </rPr>
      <t xml:space="preserve">三、</t>
    </r>
    <r>
      <rPr>
        <b val="true"/>
        <sz val="11"/>
        <color rgb="FF1F3864"/>
        <rFont val="Cambria"/>
        <family val="0"/>
        <charset val="1"/>
      </rPr>
      <t xml:space="preserve">P01 </t>
    </r>
    <r>
      <rPr>
        <b val="true"/>
        <sz val="11"/>
        <color rgb="FF1F3864"/>
        <rFont val="Noto Sans CJK SC"/>
        <family val="2"/>
      </rPr>
      <t xml:space="preserve">可卖批次台账</t>
    </r>
  </si>
  <si>
    <t xml:space="preserve">批次</t>
  </si>
  <si>
    <t xml:space="preserve">批次成本</t>
  </si>
  <si>
    <r>
      <rPr>
        <b val="true"/>
        <sz val="11"/>
        <color rgb="FFFFFFFF"/>
        <rFont val="Noto Sans CJK SC"/>
        <family val="2"/>
      </rPr>
      <t xml:space="preserve">是否可卖</t>
    </r>
    <r>
      <rPr>
        <b val="true"/>
        <sz val="11"/>
        <color rgb="FFFFFFFF"/>
        <rFont val="Cambria"/>
        <family val="0"/>
        <charset val="1"/>
      </rPr>
      <t xml:space="preserve">(8/17</t>
    </r>
    <r>
      <rPr>
        <b val="true"/>
        <sz val="11"/>
        <color rgb="FFFFFFFF"/>
        <rFont val="Noto Sans CJK SC"/>
        <family val="2"/>
      </rPr>
      <t xml:space="preserve">周一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</si>
  <si>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解冻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可卖起始日</t>
    </r>
  </si>
  <si>
    <r>
      <rPr>
        <sz val="11"/>
        <color rgb="FF000000"/>
        <rFont val="Noto Sans CJK SC"/>
        <family val="2"/>
      </rPr>
      <t xml:space="preserve">批次</t>
    </r>
    <r>
      <rPr>
        <sz val="11"/>
        <color rgb="FF000000"/>
        <rFont val="Calibri"/>
        <family val="2"/>
        <charset val="1"/>
      </rPr>
      <t xml:space="preserve">1</t>
    </r>
  </si>
  <si>
    <r>
      <rPr>
        <sz val="11"/>
        <color rgb="FF000000"/>
        <rFont val="Noto Sans CJK SC"/>
        <family val="2"/>
      </rPr>
      <t xml:space="preserve">历史批次，</t>
    </r>
    <r>
      <rPr>
        <sz val="11"/>
        <color rgb="FF000000"/>
        <rFont val="Calibri"/>
        <family val="2"/>
        <charset val="1"/>
      </rPr>
      <t xml:space="preserve">T+1</t>
    </r>
    <r>
      <rPr>
        <sz val="11"/>
        <color rgb="FF000000"/>
        <rFont val="Noto Sans CJK SC"/>
        <family val="2"/>
      </rPr>
      <t xml:space="preserve">早已可卖</t>
    </r>
  </si>
  <si>
    <r>
      <rPr>
        <sz val="11"/>
        <color rgb="FF000000"/>
        <rFont val="Noto Sans CJK SC"/>
        <family val="2"/>
      </rPr>
      <t xml:space="preserve">批次</t>
    </r>
    <r>
      <rPr>
        <sz val="11"/>
        <color rgb="FF000000"/>
        <rFont val="Calibri"/>
        <family val="2"/>
        <charset val="1"/>
      </rPr>
      <t xml:space="preserve">2</t>
    </r>
  </si>
  <si>
    <r>
      <rPr>
        <sz val="11"/>
        <color rgb="FF000000"/>
        <rFont val="Noto Sans CJK SC"/>
        <family val="2"/>
      </rPr>
      <t xml:space="preserve">批次</t>
    </r>
    <r>
      <rPr>
        <sz val="11"/>
        <color rgb="FF000000"/>
        <rFont val="Calibri"/>
        <family val="2"/>
        <charset val="1"/>
      </rPr>
      <t xml:space="preserve">3</t>
    </r>
  </si>
  <si>
    <r>
      <rPr>
        <sz val="11"/>
        <color rgb="FF000000"/>
        <rFont val="Noto Sans CJK SC"/>
        <family val="2"/>
      </rPr>
      <t xml:space="preserve">当日买入，</t>
    </r>
    <r>
      <rPr>
        <sz val="11"/>
        <color rgb="FF000000"/>
        <rFont val="Calibri"/>
        <family val="2"/>
        <charset val="1"/>
      </rPr>
      <t xml:space="preserve">8/18(</t>
    </r>
    <r>
      <rPr>
        <sz val="11"/>
        <color rgb="FF000000"/>
        <rFont val="Noto Sans CJK SC"/>
        <family val="2"/>
      </rPr>
      <t xml:space="preserve">周二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CJK SC"/>
        <family val="2"/>
      </rPr>
      <t xml:space="preserve">起可卖</t>
    </r>
  </si>
  <si>
    <r>
      <rPr>
        <b val="true"/>
        <sz val="11"/>
        <rFont val="Noto Sans CJK SC"/>
        <family val="2"/>
      </rPr>
      <t xml:space="preserve">可卖合计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批次</t>
    </r>
    <r>
      <rPr>
        <b val="true"/>
        <sz val="11"/>
        <rFont val="Cambria"/>
        <family val="0"/>
        <charset val="1"/>
      </rPr>
      <t xml:space="preserve">1+2)</t>
    </r>
  </si>
  <si>
    <r>
      <rPr>
        <sz val="11"/>
        <color rgb="FF000000"/>
        <rFont val="Noto Sans CJK SC"/>
        <family val="2"/>
      </rPr>
      <t xml:space="preserve">应</t>
    </r>
    <r>
      <rPr>
        <sz val="11"/>
        <color rgb="FF000000"/>
        <rFont val="Calibri"/>
        <family val="2"/>
        <charset val="1"/>
      </rPr>
      <t xml:space="preserve">=</t>
    </r>
    <r>
      <rPr>
        <sz val="11"/>
        <color rgb="FF000000"/>
        <rFont val="Noto Sans CJK SC"/>
        <family val="2"/>
      </rPr>
      <t xml:space="preserve">可卖数量</t>
    </r>
    <r>
      <rPr>
        <sz val="11"/>
        <color rgb="FF000000"/>
        <rFont val="Calibri"/>
        <family val="2"/>
        <charset val="1"/>
      </rPr>
      <t xml:space="preserve">4000</t>
    </r>
  </si>
  <si>
    <r>
      <rPr>
        <b val="true"/>
        <sz val="14"/>
        <color rgb="FF1F3864"/>
        <rFont val="Noto Sans CJK SC"/>
        <family val="2"/>
      </rPr>
      <t xml:space="preserve">交易日历（</t>
    </r>
    <r>
      <rPr>
        <b val="true"/>
        <sz val="14"/>
        <color rgb="FF1F3864"/>
        <rFont val="Cambria"/>
        <family val="0"/>
        <charset val="1"/>
      </rPr>
      <t xml:space="preserve">as-of 2026-08-14 </t>
    </r>
    <r>
      <rPr>
        <b val="true"/>
        <sz val="14"/>
        <color rgb="FF1F3864"/>
        <rFont val="Noto Sans CJK SC"/>
        <family val="2"/>
      </rPr>
      <t xml:space="preserve">周五 → 最迟行动日 </t>
    </r>
    <r>
      <rPr>
        <b val="true"/>
        <sz val="14"/>
        <color rgb="FF1F3864"/>
        <rFont val="Cambria"/>
        <family val="0"/>
        <charset val="1"/>
      </rPr>
      <t xml:space="preserve">2026-08-18</t>
    </r>
    <r>
      <rPr>
        <b val="true"/>
        <sz val="14"/>
        <color rgb="FF1F3864"/>
        <rFont val="Noto Sans CJK SC"/>
        <family val="2"/>
      </rPr>
      <t xml:space="preserve">）</t>
    </r>
  </si>
  <si>
    <t xml:space="preserve">日历日</t>
  </si>
  <si>
    <t xml:space="preserve">星期</t>
  </si>
  <si>
    <t xml:space="preserve">是否交易日</t>
  </si>
  <si>
    <t xml:space="preserve">可执行时段说明</t>
  </si>
  <si>
    <r>
      <rPr>
        <b val="true"/>
        <sz val="11"/>
        <color rgb="FFFFFFFF"/>
        <rFont val="Noto Sans CJK SC"/>
        <family val="2"/>
      </rPr>
      <t xml:space="preserve">资金可用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可划转</t>
    </r>
  </si>
  <si>
    <t xml:space="preserve">备注</t>
  </si>
  <si>
    <t xml:space="preserve">周五</t>
  </si>
  <si>
    <r>
      <rPr>
        <sz val="11"/>
        <color rgb="FF000000"/>
        <rFont val="Noto Sans CJK SC"/>
        <family val="2"/>
      </rPr>
      <t xml:space="preserve">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已收盘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</si>
  <si>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截点</t>
    </r>
    <r>
      <rPr>
        <sz val="11"/>
        <color rgb="FF000000"/>
        <rFont val="Calibri"/>
        <family val="2"/>
        <charset val="1"/>
      </rPr>
      <t xml:space="preserve">17:00</t>
    </r>
    <r>
      <rPr>
        <sz val="11"/>
        <color rgb="FF000000"/>
        <rFont val="Noto Sans CJK SC"/>
        <family val="2"/>
      </rPr>
      <t xml:space="preserve">，盘后</t>
    </r>
  </si>
  <si>
    <t xml:space="preserve">—</t>
  </si>
  <si>
    <r>
      <rPr>
        <sz val="11"/>
        <color rgb="FF000000"/>
        <rFont val="Noto Sans CJK SC"/>
        <family val="2"/>
      </rPr>
      <t xml:space="preserve">数据截点；</t>
    </r>
    <r>
      <rPr>
        <sz val="11"/>
        <color rgb="FF000000"/>
        <rFont val="Calibri"/>
        <family val="2"/>
        <charset val="1"/>
      </rPr>
      <t xml:space="preserve">P02</t>
    </r>
    <r>
      <rPr>
        <sz val="11"/>
        <color rgb="FF000000"/>
        <rFont val="Noto Sans CJK SC"/>
        <family val="2"/>
      </rPr>
      <t xml:space="preserve">跌停封单、</t>
    </r>
    <r>
      <rPr>
        <sz val="11"/>
        <color rgb="FF000000"/>
        <rFont val="Calibri"/>
        <family val="2"/>
        <charset val="1"/>
      </rPr>
      <t xml:space="preserve">P04</t>
    </r>
    <r>
      <rPr>
        <sz val="11"/>
        <color rgb="FF000000"/>
        <rFont val="Noto Sans CJK SC"/>
        <family val="2"/>
      </rPr>
      <t xml:space="preserve">停牌</t>
    </r>
  </si>
  <si>
    <t xml:space="preserve">2026-08-15</t>
  </si>
  <si>
    <t xml:space="preserve">周六</t>
  </si>
  <si>
    <t xml:space="preserve">休市</t>
  </si>
  <si>
    <t xml:space="preserve">2026-08-16</t>
  </si>
  <si>
    <t xml:space="preserve">周日</t>
  </si>
  <si>
    <t xml:space="preserve">周一</t>
  </si>
  <si>
    <t xml:space="preserve">09:30-11:30/13:00-15:00</t>
  </si>
  <si>
    <r>
      <rPr>
        <sz val="11"/>
        <color rgb="FF000000"/>
        <rFont val="Noto Sans CJK SC"/>
        <family val="2"/>
      </rPr>
      <t xml:space="preserve">卖出成交款</t>
    </r>
    <r>
      <rPr>
        <sz val="11"/>
        <color rgb="FF000000"/>
        <rFont val="Calibri"/>
        <family val="2"/>
        <charset val="1"/>
      </rPr>
      <t xml:space="preserve">T+0</t>
    </r>
    <r>
      <rPr>
        <sz val="11"/>
        <color rgb="FF000000"/>
        <rFont val="Noto Sans CJK SC"/>
        <family val="2"/>
      </rPr>
      <t xml:space="preserve">可用、</t>
    </r>
    <r>
      <rPr>
        <sz val="11"/>
        <color rgb="FF000000"/>
        <rFont val="Calibri"/>
        <family val="2"/>
        <charset val="1"/>
      </rPr>
      <t xml:space="preserve">T+1</t>
    </r>
    <r>
      <rPr>
        <sz val="11"/>
        <color rgb="FF000000"/>
        <rFont val="Noto Sans CJK SC"/>
        <family val="2"/>
      </rPr>
      <t xml:space="preserve">可取</t>
    </r>
  </si>
  <si>
    <r>
      <rPr>
        <sz val="11"/>
        <color rgb="FF000000"/>
        <rFont val="Noto Sans CJK SC"/>
        <family val="2"/>
      </rPr>
      <t xml:space="preserve">客户确认净转出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万元；主路径执行日</t>
    </r>
  </si>
  <si>
    <t xml:space="preserve">2026-08-18</t>
  </si>
  <si>
    <t xml:space="preserve">周二</t>
  </si>
  <si>
    <t xml:space="preserve">同上</t>
  </si>
  <si>
    <r>
      <rPr>
        <sz val="11"/>
        <color rgb="FF000000"/>
        <rFont val="Calibri"/>
        <family val="2"/>
        <charset val="1"/>
      </rPr>
      <t xml:space="preserve">8/17</t>
    </r>
    <r>
      <rPr>
        <sz val="11"/>
        <color rgb="FF000000"/>
        <rFont val="Noto Sans CJK SC"/>
        <family val="2"/>
      </rPr>
      <t xml:space="preserve">卖出款已可划转</t>
    </r>
  </si>
  <si>
    <r>
      <rPr>
        <sz val="11"/>
        <color rgb="FF000000"/>
        <rFont val="Calibri"/>
        <family val="2"/>
        <charset val="1"/>
      </rPr>
      <t xml:space="preserve">P01</t>
    </r>
    <r>
      <rPr>
        <sz val="11"/>
        <color rgb="FF000000"/>
        <rFont val="Noto Sans CJK SC"/>
        <family val="2"/>
      </rPr>
      <t xml:space="preserve">当日买入</t>
    </r>
    <r>
      <rPr>
        <sz val="11"/>
        <color rgb="FF000000"/>
        <rFont val="Calibri"/>
        <family val="2"/>
        <charset val="1"/>
      </rPr>
      <t xml:space="preserve">1000</t>
    </r>
    <r>
      <rPr>
        <sz val="11"/>
        <color rgb="FF000000"/>
        <rFont val="Noto Sans CJK SC"/>
        <family val="2"/>
      </rPr>
      <t xml:space="preserve">股解禁；后手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补执行窗口</t>
    </r>
  </si>
  <si>
    <r>
      <rPr>
        <b val="true"/>
        <sz val="14"/>
        <color rgb="FF1F3864"/>
        <rFont val="Noto Sans CJK SC"/>
        <family val="2"/>
      </rPr>
      <t xml:space="preserve">主路径交易明细、费用勾稽与扣费后实现盈亏（价格</t>
    </r>
    <r>
      <rPr>
        <b val="true"/>
        <sz val="14"/>
        <color rgb="FF1F3864"/>
        <rFont val="Cambria"/>
        <family val="0"/>
        <charset val="1"/>
      </rPr>
      <t xml:space="preserve">=8/14</t>
    </r>
    <r>
      <rPr>
        <b val="true"/>
        <sz val="14"/>
        <color rgb="FF1F3864"/>
        <rFont val="Noto Sans CJK SC"/>
        <family val="2"/>
      </rPr>
      <t xml:space="preserve">收盘，人民币元）</t>
    </r>
  </si>
  <si>
    <t xml:space="preserve">操作</t>
  </si>
  <si>
    <t xml:space="preserve">原币价</t>
  </si>
  <si>
    <r>
      <rPr>
        <b val="true"/>
        <sz val="11"/>
        <color rgb="FFFFFFFF"/>
        <rFont val="Cambria"/>
        <family val="0"/>
        <charset val="1"/>
      </rPr>
      <t xml:space="preserve">RMB</t>
    </r>
    <r>
      <rPr>
        <b val="true"/>
        <sz val="11"/>
        <color rgb="FFFFFFFF"/>
        <rFont val="Noto Sans CJK SC"/>
        <family val="2"/>
      </rPr>
      <t xml:space="preserve">单价</t>
    </r>
  </si>
  <si>
    <r>
      <rPr>
        <b val="true"/>
        <sz val="11"/>
        <color rgb="FFFFFFFF"/>
        <rFont val="Noto Sans CJK SC"/>
        <family val="2"/>
      </rPr>
      <t xml:space="preserve">成交额</t>
    </r>
    <r>
      <rPr>
        <b val="true"/>
        <sz val="11"/>
        <color rgb="FFFFFFFF"/>
        <rFont val="Cambria"/>
        <family val="0"/>
        <charset val="1"/>
      </rPr>
      <t xml:space="preserve">RMB</t>
    </r>
  </si>
  <si>
    <t xml:space="preserve">费用口径</t>
  </si>
  <si>
    <r>
      <rPr>
        <b val="true"/>
        <sz val="11"/>
        <color rgb="FFFFFFFF"/>
        <rFont val="Noto Sans CJK SC"/>
        <family val="2"/>
      </rPr>
      <t xml:space="preserve">费用</t>
    </r>
    <r>
      <rPr>
        <b val="true"/>
        <sz val="11"/>
        <color rgb="FFFFFFFF"/>
        <rFont val="Cambria"/>
        <family val="0"/>
        <charset val="1"/>
      </rPr>
      <t xml:space="preserve">RMB</t>
    </r>
  </si>
  <si>
    <r>
      <rPr>
        <b val="true"/>
        <sz val="11"/>
        <color rgb="FFFFFFFF"/>
        <rFont val="Noto Sans CJK SC"/>
        <family val="2"/>
      </rPr>
      <t xml:space="preserve">净回笼</t>
    </r>
    <r>
      <rPr>
        <b val="true"/>
        <sz val="11"/>
        <color rgb="FFFFFFFF"/>
        <rFont val="Cambria"/>
        <family val="0"/>
        <charset val="1"/>
      </rPr>
      <t xml:space="preserve">RMB</t>
    </r>
  </si>
  <si>
    <t xml:space="preserve">扣费后实现盈亏</t>
  </si>
  <si>
    <t xml:space="preserve">卖</t>
  </si>
  <si>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CJK SC"/>
        <family val="2"/>
      </rPr>
      <t xml:space="preserve">股</t>
    </r>
    <r>
      <rPr>
        <sz val="11"/>
        <color rgb="FF000000"/>
        <rFont val="Calibri"/>
        <family val="2"/>
        <charset val="1"/>
      </rPr>
      <t xml:space="preserve">:</t>
    </r>
    <r>
      <rPr>
        <sz val="11"/>
        <color rgb="FF000000"/>
        <rFont val="Noto Sans CJK SC"/>
        <family val="2"/>
      </rPr>
      <t xml:space="preserve">佣金</t>
    </r>
    <r>
      <rPr>
        <sz val="11"/>
        <color rgb="FF000000"/>
        <rFont val="Calibri"/>
        <family val="2"/>
        <charset val="1"/>
      </rPr>
      <t xml:space="preserve">max(</t>
    </r>
    <r>
      <rPr>
        <sz val="11"/>
        <color rgb="FF000000"/>
        <rFont val="Noto Sans CJK SC"/>
        <family val="2"/>
      </rPr>
      <t xml:space="preserve">额</t>
    </r>
    <r>
      <rPr>
        <sz val="11"/>
        <color rgb="FF000000"/>
        <rFont val="Calibri"/>
        <family val="2"/>
        <charset val="1"/>
      </rPr>
      <t xml:space="preserve">×0.03%,5)+</t>
    </r>
    <r>
      <rPr>
        <sz val="11"/>
        <color rgb="FF000000"/>
        <rFont val="Noto Sans CJK SC"/>
        <family val="2"/>
      </rPr>
      <t xml:space="preserve">印花税额</t>
    </r>
    <r>
      <rPr>
        <sz val="11"/>
        <color rgb="FF000000"/>
        <rFont val="Calibri"/>
        <family val="2"/>
        <charset val="1"/>
      </rPr>
      <t xml:space="preserve">×0.05%</t>
    </r>
  </si>
  <si>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CJK SC"/>
        <family val="2"/>
      </rPr>
      <t xml:space="preserve">股</t>
    </r>
    <r>
      <rPr>
        <sz val="11"/>
        <color rgb="FF000000"/>
        <rFont val="Calibri"/>
        <family val="2"/>
        <charset val="1"/>
      </rPr>
      <t xml:space="preserve">:</t>
    </r>
    <r>
      <rPr>
        <sz val="11"/>
        <color rgb="FF000000"/>
        <rFont val="Noto Sans CJK SC"/>
        <family val="2"/>
      </rPr>
      <t xml:space="preserve">同上</t>
    </r>
  </si>
  <si>
    <r>
      <rPr>
        <sz val="11"/>
        <color rgb="FF000000"/>
        <rFont val="Noto Sans CJK SC"/>
        <family val="2"/>
      </rPr>
      <t xml:space="preserve">港股</t>
    </r>
    <r>
      <rPr>
        <sz val="11"/>
        <color rgb="FF000000"/>
        <rFont val="Calibri"/>
        <family val="2"/>
        <charset val="1"/>
      </rPr>
      <t xml:space="preserve">ETF</t>
    </r>
    <r>
      <rPr>
        <sz val="11"/>
        <color rgb="FF000000"/>
        <rFont val="Noto Sans CJK SC"/>
        <family val="2"/>
      </rPr>
      <t xml:space="preserve">综合费额</t>
    </r>
    <r>
      <rPr>
        <sz val="11"/>
        <color rgb="FF000000"/>
        <rFont val="Calibri"/>
        <family val="2"/>
        <charset val="1"/>
      </rPr>
      <t xml:space="preserve">×0.10%</t>
    </r>
  </si>
  <si>
    <t xml:space="preserve">账户层面结果</t>
  </si>
  <si>
    <r>
      <rPr>
        <sz val="11"/>
        <color rgb="FF000000"/>
        <rFont val="Noto Sans CJK SC"/>
        <family val="2"/>
      </rPr>
      <t xml:space="preserve">交易前总资产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托管净</t>
    </r>
    <r>
      <rPr>
        <sz val="11"/>
        <color rgb="FF000000"/>
        <rFont val="Calibri"/>
        <family val="2"/>
        <charset val="1"/>
      </rPr>
      <t xml:space="preserve">)</t>
    </r>
  </si>
  <si>
    <t xml:space="preserve">见公式</t>
  </si>
  <si>
    <t xml:space="preserve">减：本次卖出费用合计</t>
  </si>
  <si>
    <t xml:space="preserve">交易后、提款前总资产</t>
  </si>
  <si>
    <r>
      <rPr>
        <sz val="11"/>
        <color rgb="FF000000"/>
        <rFont val="Noto Sans CJK SC"/>
        <family val="2"/>
      </rPr>
      <t xml:space="preserve">人民币现金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交易后、提款前</t>
    </r>
    <r>
      <rPr>
        <sz val="11"/>
        <color rgb="FF000000"/>
        <rFont val="Calibri"/>
        <family val="2"/>
        <charset val="1"/>
      </rPr>
      <t xml:space="preserve">)</t>
    </r>
  </si>
  <si>
    <t xml:space="preserve">减：客户确认净转出</t>
  </si>
  <si>
    <r>
      <rPr>
        <sz val="11"/>
        <color rgb="FF000000"/>
        <rFont val="Noto Sans CJK SC"/>
        <family val="2"/>
      </rPr>
      <t xml:space="preserve">人民币现金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提款后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</si>
  <si>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提款后总资产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主路径分母</t>
    </r>
    <r>
      <rPr>
        <sz val="11"/>
        <color rgb="FF000000"/>
        <rFont val="Calibri"/>
        <family val="2"/>
        <charset val="1"/>
      </rPr>
      <t xml:space="preserve">)</t>
    </r>
  </si>
  <si>
    <r>
      <rPr>
        <b val="true"/>
        <sz val="14"/>
        <color rgb="FF1F3864"/>
        <rFont val="Noto Sans CJK SC"/>
        <family val="2"/>
      </rPr>
      <t xml:space="preserve">方案对比：未调整 </t>
    </r>
    <r>
      <rPr>
        <b val="true"/>
        <sz val="14"/>
        <color rgb="FF1F3864"/>
        <rFont val="Cambria"/>
        <family val="0"/>
        <charset val="1"/>
      </rPr>
      <t xml:space="preserve">vs </t>
    </r>
    <r>
      <rPr>
        <b val="true"/>
        <sz val="14"/>
        <color rgb="FF1F3864"/>
        <rFont val="Noto Sans CJK SC"/>
        <family val="2"/>
      </rPr>
      <t xml:space="preserve">主路径</t>
    </r>
    <r>
      <rPr>
        <b val="true"/>
        <sz val="14"/>
        <color rgb="FF1F3864"/>
        <rFont val="Cambria"/>
        <family val="0"/>
        <charset val="1"/>
      </rPr>
      <t xml:space="preserve">(</t>
    </r>
    <r>
      <rPr>
        <b val="true"/>
        <sz val="14"/>
        <color rgb="FF1F3864"/>
        <rFont val="Noto Sans CJK SC"/>
        <family val="2"/>
      </rPr>
      <t xml:space="preserve">保守</t>
    </r>
    <r>
      <rPr>
        <b val="true"/>
        <sz val="14"/>
        <color rgb="FF1F3864"/>
        <rFont val="Cambria"/>
        <family val="0"/>
        <charset val="1"/>
      </rPr>
      <t xml:space="preserve">,P02</t>
    </r>
    <r>
      <rPr>
        <b val="true"/>
        <sz val="14"/>
        <color rgb="FF1F3864"/>
        <rFont val="Noto Sans CJK SC"/>
        <family val="2"/>
      </rPr>
      <t xml:space="preserve">不开板</t>
    </r>
    <r>
      <rPr>
        <b val="true"/>
        <sz val="14"/>
        <color rgb="FF1F3864"/>
        <rFont val="Cambria"/>
        <family val="0"/>
        <charset val="1"/>
      </rPr>
      <t xml:space="preserve">) vs P02</t>
    </r>
    <r>
      <rPr>
        <b val="true"/>
        <sz val="14"/>
        <color rgb="FF1F3864"/>
        <rFont val="Noto Sans CJK SC"/>
        <family val="2"/>
      </rPr>
      <t xml:space="preserve">开板替代（金额</t>
    </r>
    <r>
      <rPr>
        <b val="true"/>
        <sz val="14"/>
        <color rgb="FF1F3864"/>
        <rFont val="Cambria"/>
        <family val="0"/>
        <charset val="1"/>
      </rPr>
      <t xml:space="preserve">RMB</t>
    </r>
    <r>
      <rPr>
        <b val="true"/>
        <sz val="14"/>
        <color rgb="FF1F3864"/>
        <rFont val="Noto Sans CJK SC"/>
        <family val="2"/>
      </rPr>
      <t xml:space="preserve">，权重</t>
    </r>
    <r>
      <rPr>
        <b val="true"/>
        <sz val="14"/>
        <color rgb="FF1F3864"/>
        <rFont val="Cambria"/>
        <family val="0"/>
        <charset val="1"/>
      </rPr>
      <t xml:space="preserve">=</t>
    </r>
    <r>
      <rPr>
        <b val="true"/>
        <sz val="14"/>
        <color rgb="FF1F3864"/>
        <rFont val="Noto Sans CJK SC"/>
        <family val="2"/>
      </rPr>
      <t xml:space="preserve">各自口径总资产）</t>
    </r>
  </si>
  <si>
    <t xml:space="preserve">未调整数量</t>
  </si>
  <si>
    <t xml:space="preserve">未调整市值</t>
  </si>
  <si>
    <t xml:space="preserve">未调整权重</t>
  </si>
  <si>
    <t xml:space="preserve">主路径后数量</t>
  </si>
  <si>
    <t xml:space="preserve">主路径后市值</t>
  </si>
  <si>
    <t xml:space="preserve">主路径后权重</t>
  </si>
  <si>
    <t xml:space="preserve">开板替代后数量</t>
  </si>
  <si>
    <t xml:space="preserve">开板替代后市值</t>
  </si>
  <si>
    <t xml:space="preserve">开板替代权重</t>
  </si>
  <si>
    <t xml:space="preserve">证券市值合计</t>
  </si>
  <si>
    <t xml:space="preserve">组合层面汇总（提款后口径）</t>
  </si>
  <si>
    <t xml:space="preserve">口径</t>
  </si>
  <si>
    <r>
      <rPr>
        <b val="true"/>
        <sz val="11"/>
        <color rgb="FFFFFFFF"/>
        <rFont val="Noto Sans CJK SC"/>
        <family val="2"/>
      </rPr>
      <t xml:space="preserve">未调整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仅提款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</si>
  <si>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主路径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保守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</si>
  <si>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P02</t>
    </r>
    <r>
      <rPr>
        <b val="true"/>
        <sz val="11"/>
        <color rgb="FFFFFFFF"/>
        <rFont val="Noto Sans CJK SC"/>
        <family val="2"/>
      </rPr>
      <t xml:space="preserve">开板替代</t>
    </r>
  </si>
  <si>
    <t xml:space="preserve">科技主题市值</t>
  </si>
  <si>
    <r>
      <rPr>
        <sz val="11"/>
        <color rgb="FF000000"/>
        <rFont val="Noto Sans CJK SC"/>
        <family val="2"/>
      </rPr>
      <t xml:space="preserve">高风险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内部等级高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</si>
  <si>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外币资产</t>
    </r>
    <r>
      <rPr>
        <sz val="11"/>
        <color rgb="FF000000"/>
        <rFont val="Calibri"/>
        <family val="2"/>
        <charset val="1"/>
      </rPr>
      <t xml:space="preserve">(P07+</t>
    </r>
    <r>
      <rPr>
        <sz val="11"/>
        <color rgb="FF000000"/>
        <rFont val="Noto Sans CJK SC"/>
        <family val="2"/>
      </rPr>
      <t xml:space="preserve">美元现金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</si>
  <si>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现金类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人民币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美元折汇</t>
    </r>
    <r>
      <rPr>
        <sz val="11"/>
        <color rgb="FF000000"/>
        <rFont val="Calibri"/>
        <family val="2"/>
        <charset val="1"/>
      </rPr>
      <t xml:space="preserve">)</t>
    </r>
  </si>
  <si>
    <t xml:space="preserve">≈见备注</t>
  </si>
  <si>
    <r>
      <rPr>
        <b val="true"/>
        <sz val="11"/>
        <rFont val="Noto Sans CJK SC"/>
        <family val="2"/>
      </rPr>
      <t xml:space="preserve">口径分母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提款后总资产</t>
    </r>
    <r>
      <rPr>
        <b val="true"/>
        <sz val="11"/>
        <rFont val="Cambria"/>
        <family val="0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</si>
  <si>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≈983,900(</t>
    </r>
    <r>
      <rPr>
        <sz val="11"/>
        <color rgb="FF000000"/>
        <rFont val="Noto Sans CJK SC"/>
        <family val="2"/>
      </rPr>
      <t xml:space="preserve">按相同费用口径估</t>
    </r>
    <r>
      <rPr>
        <sz val="11"/>
        <color rgb="FF000000"/>
        <rFont val="Calibri"/>
        <family val="2"/>
        <charset val="1"/>
      </rPr>
      <t xml:space="preserve">)</t>
    </r>
  </si>
  <si>
    <t xml:space="preserve">科技占比</t>
  </si>
  <si>
    <t xml:space="preserve">高风险占比</t>
  </si>
  <si>
    <t xml:space="preserve">外币占比</t>
  </si>
  <si>
    <t xml:space="preserve">现金占比</t>
  </si>
  <si>
    <r>
      <rPr>
        <i val="true"/>
        <sz val="11"/>
        <color rgb="FFC00000"/>
        <rFont val="Noto Sans CJK SC"/>
        <family val="2"/>
      </rPr>
      <t xml:space="preserve">说明：</t>
    </r>
    <r>
      <rPr>
        <i val="true"/>
        <sz val="11"/>
        <color rgb="FFC00000"/>
        <rFont val="Cambria"/>
        <family val="0"/>
        <charset val="1"/>
      </rPr>
      <t xml:space="preserve">P02</t>
    </r>
    <r>
      <rPr>
        <i val="true"/>
        <sz val="11"/>
        <color rgb="FFC00000"/>
        <rFont val="Noto Sans CJK SC"/>
        <family val="2"/>
      </rPr>
      <t xml:space="preserve">开板替代路径依赖</t>
    </r>
    <r>
      <rPr>
        <i val="true"/>
        <sz val="11"/>
        <color rgb="FFC00000"/>
        <rFont val="Cambria"/>
        <family val="0"/>
        <charset val="1"/>
      </rPr>
      <t xml:space="preserve">P02</t>
    </r>
    <r>
      <rPr>
        <i val="true"/>
        <sz val="11"/>
        <color rgb="FFC00000"/>
        <rFont val="Noto Sans CJK SC"/>
        <family val="2"/>
      </rPr>
      <t xml:space="preserve">周一能开板成交；若继续跌停则不可用，须走主路径。</t>
    </r>
    <r>
      <rPr>
        <i val="true"/>
        <sz val="11"/>
        <color rgb="FFC00000"/>
        <rFont val="Cambria"/>
        <family val="0"/>
        <charset val="1"/>
      </rPr>
      <t xml:space="preserve">P04</t>
    </r>
    <r>
      <rPr>
        <i val="true"/>
        <sz val="11"/>
        <color rgb="FFC00000"/>
        <rFont val="Noto Sans CJK SC"/>
        <family val="2"/>
      </rPr>
      <t xml:space="preserve">停牌不进入任何卖出路径。</t>
    </r>
  </si>
  <si>
    <r>
      <rPr>
        <b val="true"/>
        <sz val="14"/>
        <color rgb="FF1F3864"/>
        <rFont val="Noto Sans CJK SC"/>
        <family val="2"/>
      </rPr>
      <t xml:space="preserve">硬约束状态表（当前</t>
    </r>
    <r>
      <rPr>
        <b val="true"/>
        <sz val="14"/>
        <color rgb="FF1F3864"/>
        <rFont val="Cambria"/>
        <family val="0"/>
        <charset val="1"/>
      </rPr>
      <t xml:space="preserve">=8/14</t>
    </r>
    <r>
      <rPr>
        <b val="true"/>
        <sz val="14"/>
        <color rgb="FF1F3864"/>
        <rFont val="Noto Sans CJK SC"/>
        <family val="2"/>
      </rPr>
      <t xml:space="preserve">收盘；主路径值</t>
    </r>
    <r>
      <rPr>
        <b val="true"/>
        <sz val="14"/>
        <color rgb="FF1F3864"/>
        <rFont val="Cambria"/>
        <family val="0"/>
        <charset val="1"/>
      </rPr>
      <t xml:space="preserve">=</t>
    </r>
    <r>
      <rPr>
        <b val="true"/>
        <sz val="14"/>
        <color rgb="FF1F3864"/>
        <rFont val="Noto Sans CJK SC"/>
        <family val="2"/>
      </rPr>
      <t xml:space="preserve">交易后</t>
    </r>
    <r>
      <rPr>
        <b val="true"/>
        <sz val="14"/>
        <color rgb="FF1F3864"/>
        <rFont val="Cambria"/>
        <family val="0"/>
        <charset val="1"/>
      </rPr>
      <t xml:space="preserve">+5</t>
    </r>
    <r>
      <rPr>
        <b val="true"/>
        <sz val="14"/>
        <color rgb="FF1F3864"/>
        <rFont val="Noto Sans CJK SC"/>
        <family val="2"/>
      </rPr>
      <t xml:space="preserve">万提款后；分母为提款后总资产）</t>
    </r>
  </si>
  <si>
    <t xml:space="preserve">约束名</t>
  </si>
  <si>
    <t xml:space="preserve">题面阈值</t>
  </si>
  <si>
    <r>
      <rPr>
        <b val="true"/>
        <sz val="11"/>
        <color rgb="FFFFFFFF"/>
        <rFont val="Noto Sans CJK SC"/>
        <family val="2"/>
      </rPr>
      <t xml:space="preserve">达标所需反解值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可执行整手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</si>
  <si>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绑定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已消</t>
    </r>
  </si>
  <si>
    <t xml:space="preserve">相邻一手检验</t>
  </si>
  <si>
    <t xml:space="preserve">对应规则号</t>
  </si>
  <si>
    <r>
      <rPr>
        <sz val="11"/>
        <color rgb="FF000000"/>
        <rFont val="Noto Sans CJK SC"/>
        <family val="2"/>
      </rPr>
      <t xml:space="preserve">≤总资产</t>
    </r>
    <r>
      <rPr>
        <sz val="11"/>
        <color rgb="FF000000"/>
        <rFont val="Calibri"/>
        <family val="2"/>
        <charset val="1"/>
      </rPr>
      <t xml:space="preserve">20%</t>
    </r>
  </si>
  <si>
    <r>
      <rPr>
        <sz val="11"/>
        <color rgb="FF000000"/>
        <rFont val="Calibri"/>
        <family val="2"/>
        <charset val="1"/>
      </rPr>
      <t xml:space="preserve">P05</t>
    </r>
    <r>
      <rPr>
        <sz val="11"/>
        <color rgb="FF000000"/>
        <rFont val="Noto Sans CJK SC"/>
        <family val="2"/>
      </rPr>
      <t xml:space="preserve">至少卖</t>
    </r>
    <r>
      <rPr>
        <sz val="11"/>
        <color rgb="FF000000"/>
        <rFont val="Calibri"/>
        <family val="2"/>
        <charset val="1"/>
      </rPr>
      <t xml:space="preserve">200</t>
    </r>
    <r>
      <rPr>
        <sz val="11"/>
        <color rgb="FF000000"/>
        <rFont val="Noto Sans CJK SC"/>
        <family val="2"/>
      </rPr>
      <t xml:space="preserve">股</t>
    </r>
    <r>
      <rPr>
        <sz val="11"/>
        <color rgb="FF000000"/>
        <rFont val="Calibri"/>
        <family val="2"/>
        <charset val="1"/>
      </rPr>
      <t xml:space="preserve">(300</t>
    </r>
    <r>
      <rPr>
        <sz val="11"/>
        <color rgb="FF000000"/>
        <rFont val="Noto Sans CJK SC"/>
        <family val="2"/>
      </rPr>
      <t xml:space="preserve">股留余量</t>
    </r>
    <r>
      <rPr>
        <sz val="11"/>
        <color rgb="FF000000"/>
        <rFont val="Calibri"/>
        <family val="2"/>
        <charset val="1"/>
      </rPr>
      <t xml:space="preserve">)</t>
    </r>
  </si>
  <si>
    <t xml:space="preserve">超限→达标</t>
  </si>
  <si>
    <r>
      <rPr>
        <sz val="11"/>
        <color rgb="FF000000"/>
        <rFont val="Noto Sans CJK SC"/>
        <family val="2"/>
      </rPr>
      <t xml:space="preserve">绑定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单票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</si>
  <si>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少卖一手改卖</t>
    </r>
    <r>
      <rPr>
        <sz val="11"/>
        <color rgb="FF000000"/>
        <rFont val="Calibri"/>
        <family val="2"/>
        <charset val="1"/>
      </rPr>
      <t xml:space="preserve">100</t>
    </r>
    <r>
      <rPr>
        <sz val="11"/>
        <color rgb="FF000000"/>
        <rFont val="Noto Sans CJK SC"/>
        <family val="2"/>
      </rPr>
      <t xml:space="preserve">股→</t>
    </r>
    <r>
      <rPr>
        <sz val="11"/>
        <color rgb="FF000000"/>
        <rFont val="Calibri"/>
        <family val="2"/>
        <charset val="1"/>
      </rPr>
      <t xml:space="preserve">P05</t>
    </r>
    <r>
      <rPr>
        <sz val="11"/>
        <color rgb="FF000000"/>
        <rFont val="Noto Sans CJK SC"/>
        <family val="2"/>
      </rPr>
      <t xml:space="preserve">约</t>
    </r>
    <r>
      <rPr>
        <sz val="11"/>
        <color rgb="FF000000"/>
        <rFont val="Calibri"/>
        <family val="2"/>
        <charset val="1"/>
      </rPr>
      <t xml:space="preserve">20.3%</t>
    </r>
    <r>
      <rPr>
        <sz val="11"/>
        <color rgb="FF000000"/>
        <rFont val="Noto Sans CJK SC"/>
        <family val="2"/>
      </rPr>
      <t xml:space="preserve">，仍超限</t>
    </r>
  </si>
  <si>
    <t xml:space="preserve">R2</t>
  </si>
  <si>
    <t xml:space="preserve">科技主题合计</t>
  </si>
  <si>
    <r>
      <rPr>
        <sz val="11"/>
        <color rgb="FF000000"/>
        <rFont val="Noto Sans CJK SC"/>
        <family val="2"/>
      </rPr>
      <t xml:space="preserve">≤总资产</t>
    </r>
    <r>
      <rPr>
        <sz val="11"/>
        <color rgb="FF000000"/>
        <rFont val="Calibri"/>
        <family val="2"/>
        <charset val="1"/>
      </rPr>
      <t xml:space="preserve">40%</t>
    </r>
  </si>
  <si>
    <r>
      <rPr>
        <sz val="11"/>
        <color rgb="FF000000"/>
        <rFont val="Noto Sans CJK SC"/>
        <family val="2"/>
      </rPr>
      <t xml:space="preserve">科技市值须降到≤</t>
    </r>
    <r>
      <rPr>
        <sz val="11"/>
        <color rgb="FF000000"/>
        <rFont val="Calibri"/>
        <family val="2"/>
        <charset val="1"/>
      </rPr>
      <t xml:space="preserve">0.4×</t>
    </r>
    <r>
      <rPr>
        <sz val="11"/>
        <color rgb="FF000000"/>
        <rFont val="Noto Sans CJK SC"/>
        <family val="2"/>
      </rPr>
      <t xml:space="preserve">提款后总资产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约</t>
    </r>
    <r>
      <rPr>
        <sz val="11"/>
        <color rgb="FF000000"/>
        <rFont val="Calibri"/>
        <family val="2"/>
        <charset val="1"/>
      </rPr>
      <t xml:space="preserve">39.3</t>
    </r>
    <r>
      <rPr>
        <sz val="11"/>
        <color rgb="FF000000"/>
        <rFont val="Noto Sans CJK SC"/>
        <family val="2"/>
      </rPr>
      <t xml:space="preserve">万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</si>
  <si>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绑定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最紧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</si>
  <si>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P05</t>
    </r>
    <r>
      <rPr>
        <sz val="11"/>
        <color rgb="FF000000"/>
        <rFont val="Noto Sans CJK SC"/>
        <family val="2"/>
      </rPr>
      <t xml:space="preserve">少卖</t>
    </r>
    <r>
      <rPr>
        <sz val="11"/>
        <color rgb="FF000000"/>
        <rFont val="Calibri"/>
        <family val="2"/>
        <charset val="1"/>
      </rPr>
      <t xml:space="preserve">100</t>
    </r>
    <r>
      <rPr>
        <sz val="11"/>
        <color rgb="FF000000"/>
        <rFont val="Noto Sans CJK SC"/>
        <family val="2"/>
      </rPr>
      <t xml:space="preserve">股→科技约</t>
    </r>
    <r>
      <rPr>
        <sz val="11"/>
        <color rgb="FF000000"/>
        <rFont val="Calibri"/>
        <family val="2"/>
        <charset val="1"/>
      </rPr>
      <t xml:space="preserve">40.4%</t>
    </r>
    <r>
      <rPr>
        <sz val="11"/>
        <color rgb="FF000000"/>
        <rFont val="Noto Sans CJK SC"/>
        <family val="2"/>
      </rPr>
      <t xml:space="preserve">，超限</t>
    </r>
  </si>
  <si>
    <t xml:space="preserve">R1</t>
  </si>
  <si>
    <t xml:space="preserve">内部高风险合计</t>
  </si>
  <si>
    <r>
      <rPr>
        <sz val="11"/>
        <color rgb="FF000000"/>
        <rFont val="Noto Sans CJK SC"/>
        <family val="2"/>
      </rPr>
      <t xml:space="preserve">≤总资产</t>
    </r>
    <r>
      <rPr>
        <sz val="11"/>
        <color rgb="FF000000"/>
        <rFont val="Calibri"/>
        <family val="2"/>
        <charset val="1"/>
      </rPr>
      <t xml:space="preserve">45%</t>
    </r>
  </si>
  <si>
    <r>
      <rPr>
        <sz val="11"/>
        <color rgb="FF000000"/>
        <rFont val="Noto Sans CJK SC"/>
        <family val="2"/>
      </rPr>
      <t xml:space="preserve">高风险市值须降到≤</t>
    </r>
    <r>
      <rPr>
        <sz val="11"/>
        <color rgb="FF000000"/>
        <rFont val="Calibri"/>
        <family val="2"/>
        <charset val="1"/>
      </rPr>
      <t xml:space="preserve">0.45×</t>
    </r>
    <r>
      <rPr>
        <sz val="11"/>
        <color rgb="FF000000"/>
        <rFont val="Noto Sans CJK SC"/>
        <family val="2"/>
      </rPr>
      <t xml:space="preserve">提款后总资产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约</t>
    </r>
    <r>
      <rPr>
        <sz val="11"/>
        <color rgb="FF000000"/>
        <rFont val="Calibri"/>
        <family val="2"/>
        <charset val="1"/>
      </rPr>
      <t xml:space="preserve">44.2</t>
    </r>
    <r>
      <rPr>
        <sz val="11"/>
        <color rgb="FF000000"/>
        <rFont val="Noto Sans CJK SC"/>
        <family val="2"/>
      </rPr>
      <t xml:space="preserve">万</t>
    </r>
    <r>
      <rPr>
        <sz val="11"/>
        <color rgb="FF000000"/>
        <rFont val="Calibri"/>
        <family val="2"/>
        <charset val="1"/>
      </rPr>
      <t xml:space="preserve">)</t>
    </r>
  </si>
  <si>
    <t xml:space="preserve">已被主路径卖出压回</t>
  </si>
  <si>
    <r>
      <rPr>
        <sz val="11"/>
        <color rgb="FF000000"/>
        <rFont val="Noto Sans CJK SC"/>
        <family val="2"/>
      </rPr>
      <t xml:space="preserve">主路径后</t>
    </r>
    <r>
      <rPr>
        <sz val="11"/>
        <color rgb="FF000000"/>
        <rFont val="Calibri"/>
        <family val="2"/>
        <charset val="1"/>
      </rPr>
      <t xml:space="preserve">39.3%&lt;45%</t>
    </r>
  </si>
  <si>
    <t xml:space="preserve">外币资产</t>
  </si>
  <si>
    <r>
      <rPr>
        <sz val="11"/>
        <color rgb="FF000000"/>
        <rFont val="Noto Sans CJK SC"/>
        <family val="2"/>
      </rPr>
      <t xml:space="preserve">≤总资产</t>
    </r>
    <r>
      <rPr>
        <sz val="11"/>
        <color rgb="FF000000"/>
        <rFont val="Calibri"/>
        <family val="2"/>
        <charset val="1"/>
      </rPr>
      <t xml:space="preserve">15%</t>
    </r>
  </si>
  <si>
    <r>
      <rPr>
        <sz val="11"/>
        <color rgb="FF000000"/>
        <rFont val="Calibri"/>
        <family val="2"/>
        <charset val="1"/>
      </rPr>
      <t xml:space="preserve">P07</t>
    </r>
    <r>
      <rPr>
        <sz val="11"/>
        <color rgb="FF000000"/>
        <rFont val="Noto Sans CJK SC"/>
        <family val="2"/>
      </rPr>
      <t xml:space="preserve">至少卖</t>
    </r>
    <r>
      <rPr>
        <sz val="11"/>
        <color rgb="FF000000"/>
        <rFont val="Calibri"/>
        <family val="2"/>
        <charset val="1"/>
      </rPr>
      <t xml:space="preserve">1500</t>
    </r>
    <r>
      <rPr>
        <sz val="11"/>
        <color rgb="FF000000"/>
        <rFont val="Noto Sans CJK SC"/>
        <family val="2"/>
      </rPr>
      <t xml:space="preserve">份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留余量卖</t>
    </r>
    <r>
      <rPr>
        <sz val="11"/>
        <color rgb="FF000000"/>
        <rFont val="Calibri"/>
        <family val="2"/>
        <charset val="1"/>
      </rPr>
      <t xml:space="preserve">10000</t>
    </r>
    <r>
      <rPr>
        <sz val="11"/>
        <color rgb="FF000000"/>
        <rFont val="Noto Sans CJK SC"/>
        <family val="2"/>
      </rPr>
      <t xml:space="preserve">份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</si>
  <si>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绑定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已通过退出</t>
    </r>
    <r>
      <rPr>
        <sz val="11"/>
        <color rgb="FF000000"/>
        <rFont val="Calibri"/>
        <family val="2"/>
        <charset val="1"/>
      </rPr>
      <t xml:space="preserve">P07</t>
    </r>
    <r>
      <rPr>
        <sz val="11"/>
        <color rgb="FF000000"/>
        <rFont val="Noto Sans CJK SC"/>
        <family val="2"/>
      </rPr>
      <t xml:space="preserve">解决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</si>
  <si>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主路径后外币仅余美元现金</t>
    </r>
    <r>
      <rPr>
        <sz val="11"/>
        <color rgb="FF000000"/>
        <rFont val="Calibri"/>
        <family val="2"/>
        <charset val="1"/>
      </rPr>
      <t xml:space="preserve">2.19%</t>
    </r>
  </si>
  <si>
    <t xml:space="preserve">R3</t>
  </si>
  <si>
    <r>
      <rPr>
        <sz val="11"/>
        <color rgb="FF000000"/>
        <rFont val="Noto Sans CJK SC"/>
        <family val="2"/>
      </rPr>
      <t xml:space="preserve">人民币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现金类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提款后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</si>
  <si>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≥总资产</t>
    </r>
    <r>
      <rPr>
        <sz val="11"/>
        <color rgb="FF000000"/>
        <rFont val="Calibri"/>
        <family val="2"/>
        <charset val="1"/>
      </rPr>
      <t xml:space="preserve">10%</t>
    </r>
  </si>
  <si>
    <t xml:space="preserve">现状即达标，无需为流动性卖出</t>
  </si>
  <si>
    <t xml:space="preserve">达标</t>
  </si>
  <si>
    <t xml:space="preserve">不绑定</t>
  </si>
  <si>
    <r>
      <rPr>
        <sz val="11"/>
        <color rgb="FF000000"/>
        <rFont val="Noto Sans CJK SC"/>
        <family val="2"/>
      </rPr>
      <t xml:space="preserve">提款后现金约</t>
    </r>
    <r>
      <rPr>
        <sz val="11"/>
        <color rgb="FF000000"/>
        <rFont val="Calibri"/>
        <family val="2"/>
        <charset val="1"/>
      </rPr>
      <t xml:space="preserve">42.5%</t>
    </r>
    <r>
      <rPr>
        <sz val="11"/>
        <color rgb="FF000000"/>
        <rFont val="Noto Sans CJK SC"/>
        <family val="2"/>
      </rPr>
      <t xml:space="preserve">，远高于</t>
    </r>
    <r>
      <rPr>
        <sz val="11"/>
        <color rgb="FF000000"/>
        <rFont val="Calibri"/>
        <family val="2"/>
        <charset val="1"/>
      </rPr>
      <t xml:space="preserve">10%</t>
    </r>
  </si>
  <si>
    <t xml:space="preserve">R4</t>
  </si>
  <si>
    <r>
      <rPr>
        <b val="true"/>
        <sz val="14"/>
        <color rgb="FF1F3864"/>
        <rFont val="Cambria"/>
        <family val="0"/>
        <charset val="1"/>
      </rPr>
      <t xml:space="preserve">if→then </t>
    </r>
    <r>
      <rPr>
        <b val="true"/>
        <sz val="14"/>
        <color rgb="FF1F3864"/>
        <rFont val="Noto Sans CJK SC"/>
        <family val="2"/>
      </rPr>
      <t xml:space="preserve">交易纪律（数量按</t>
    </r>
    <r>
      <rPr>
        <b val="true"/>
        <sz val="14"/>
        <color rgb="FF1F3864"/>
        <rFont val="Cambria"/>
        <family val="0"/>
        <charset val="1"/>
      </rPr>
      <t xml:space="preserve">8/14</t>
    </r>
    <r>
      <rPr>
        <b val="true"/>
        <sz val="14"/>
        <color rgb="FF1F3864"/>
        <rFont val="Noto Sans CJK SC"/>
        <family val="2"/>
      </rPr>
      <t xml:space="preserve">价反解；周一按实际报价重算并向上取整手）</t>
    </r>
  </si>
  <si>
    <t xml:space="preserve">规则号</t>
  </si>
  <si>
    <r>
      <rPr>
        <b val="true"/>
        <sz val="11"/>
        <color rgb="FFFFFFFF"/>
        <rFont val="Noto Sans CJK SC"/>
        <family val="2"/>
      </rPr>
      <t xml:space="preserve">触发条件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阈值</t>
    </r>
    <r>
      <rPr>
        <b val="true"/>
        <sz val="11"/>
        <color rgb="FFFFFFFF"/>
        <rFont val="Cambria"/>
        <family val="0"/>
        <charset val="1"/>
      </rPr>
      <t xml:space="preserve">+</t>
    </r>
    <r>
      <rPr>
        <b val="true"/>
        <sz val="11"/>
        <color rgb="FFFFFFFF"/>
        <rFont val="Noto Sans CJK SC"/>
        <family val="2"/>
      </rPr>
      <t xml:space="preserve">截止时点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</si>
  <si>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方向自检</t>
  </si>
  <si>
    <t xml:space="preserve">动作</t>
  </si>
  <si>
    <r>
      <rPr>
        <b val="true"/>
        <sz val="11"/>
        <color rgb="FFFFFFFF"/>
        <rFont val="Noto Sans CJK SC"/>
        <family val="2"/>
      </rPr>
      <t xml:space="preserve">数量及口径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基准持仓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</si>
  <si>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目标权重</t>
  </si>
  <si>
    <r>
      <rPr>
        <b val="true"/>
        <sz val="11"/>
        <color rgb="FFFFFFFF"/>
        <rFont val="Noto Sans CJK SC"/>
        <family val="2"/>
      </rPr>
      <t xml:space="preserve">预计费用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净回笼</t>
    </r>
  </si>
  <si>
    <t xml:space="preserve">执行时点</t>
  </si>
  <si>
    <t xml:space="preserve">未成交后手</t>
  </si>
  <si>
    <t xml:space="preserve">交易后复核</t>
  </si>
  <si>
    <r>
      <rPr>
        <sz val="11"/>
        <color rgb="FF000000"/>
        <rFont val="Noto Sans CJK SC"/>
        <family val="2"/>
      </rPr>
      <t xml:space="preserve">周一</t>
    </r>
    <r>
      <rPr>
        <sz val="11"/>
        <color rgb="FF000000"/>
        <rFont val="Calibri"/>
        <family val="2"/>
        <charset val="1"/>
      </rPr>
      <t xml:space="preserve">09:30</t>
    </r>
    <r>
      <rPr>
        <sz val="11"/>
        <color rgb="FF000000"/>
        <rFont val="Noto Sans CJK SC"/>
        <family val="2"/>
      </rPr>
      <t xml:space="preserve">起科技主题</t>
    </r>
    <r>
      <rPr>
        <sz val="11"/>
        <color rgb="FF000000"/>
        <rFont val="Calibri"/>
        <family val="2"/>
        <charset val="1"/>
      </rPr>
      <t xml:space="preserve">&gt;40%</t>
    </r>
    <r>
      <rPr>
        <sz val="11"/>
        <color rgb="FF000000"/>
        <rFont val="Noto Sans CJK SC"/>
        <family val="2"/>
      </rPr>
      <t xml:space="preserve">或高风险</t>
    </r>
    <r>
      <rPr>
        <sz val="11"/>
        <color rgb="FF000000"/>
        <rFont val="Calibri"/>
        <family val="2"/>
        <charset val="1"/>
      </rPr>
      <t xml:space="preserve">&gt;45%</t>
    </r>
    <r>
      <rPr>
        <sz val="11"/>
        <color rgb="FF000000"/>
        <rFont val="Noto Sans CJK SC"/>
        <family val="2"/>
      </rPr>
      <t xml:space="preserve">（按实时价重算）</t>
    </r>
  </si>
  <si>
    <r>
      <rPr>
        <sz val="11"/>
        <color rgb="FF000000"/>
        <rFont val="Noto Sans CJK SC"/>
        <family val="2"/>
      </rPr>
      <t xml:space="preserve">下跌会降权重，故用其余持仓上涨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科技未达标作触发</t>
    </r>
  </si>
  <si>
    <r>
      <rPr>
        <sz val="11"/>
        <color rgb="FF000000"/>
        <rFont val="Noto Sans CJK SC"/>
        <family val="2"/>
      </rPr>
      <t xml:space="preserve">卖</t>
    </r>
    <r>
      <rPr>
        <sz val="11"/>
        <color rgb="FF000000"/>
        <rFont val="Calibri"/>
        <family val="2"/>
        <charset val="1"/>
      </rPr>
      <t xml:space="preserve">P01 4000</t>
    </r>
    <r>
      <rPr>
        <sz val="11"/>
        <color rgb="FF000000"/>
        <rFont val="Noto Sans CJK SC"/>
        <family val="2"/>
      </rPr>
      <t xml:space="preserve">股</t>
    </r>
    <r>
      <rPr>
        <sz val="11"/>
        <color rgb="FF000000"/>
        <rFont val="Calibri"/>
        <family val="2"/>
        <charset val="1"/>
      </rPr>
      <t xml:space="preserve">+P07 10000</t>
    </r>
    <r>
      <rPr>
        <sz val="11"/>
        <color rgb="FF000000"/>
        <rFont val="Noto Sans CJK SC"/>
        <family val="2"/>
      </rPr>
      <t xml:space="preserve">份</t>
    </r>
    <r>
      <rPr>
        <sz val="11"/>
        <color rgb="FF000000"/>
        <rFont val="Calibri"/>
        <family val="2"/>
        <charset val="1"/>
      </rPr>
      <t xml:space="preserve">+P05 300</t>
    </r>
    <r>
      <rPr>
        <sz val="11"/>
        <color rgb="FF000000"/>
        <rFont val="Noto Sans CJK SC"/>
        <family val="2"/>
      </rPr>
      <t xml:space="preserve">股</t>
    </r>
  </si>
  <si>
    <r>
      <rPr>
        <sz val="11"/>
        <color rgb="FF000000"/>
        <rFont val="Noto Sans CJK SC"/>
        <family val="2"/>
      </rPr>
      <t xml:space="preserve">累计总卖出量；基准</t>
    </r>
    <r>
      <rPr>
        <sz val="11"/>
        <color rgb="FF000000"/>
        <rFont val="Calibri"/>
        <family val="2"/>
        <charset val="1"/>
      </rPr>
      <t xml:space="preserve">8/14</t>
    </r>
    <r>
      <rPr>
        <sz val="11"/>
        <color rgb="FF000000"/>
        <rFont val="Noto Sans CJK SC"/>
        <family val="2"/>
      </rPr>
      <t xml:space="preserve">持仓</t>
    </r>
    <r>
      <rPr>
        <sz val="11"/>
        <color rgb="FF000000"/>
        <rFont val="Calibri"/>
        <family val="2"/>
        <charset val="1"/>
      </rPr>
      <t xml:space="preserve">(P015000/P0710000/P052000)</t>
    </r>
  </si>
  <si>
    <r>
      <rPr>
        <sz val="11"/>
        <color rgb="FF000000"/>
        <rFont val="Noto Sans CJK SC"/>
        <family val="2"/>
      </rPr>
      <t xml:space="preserve">科技≤</t>
    </r>
    <r>
      <rPr>
        <sz val="11"/>
        <color rgb="FF000000"/>
        <rFont val="Calibri"/>
        <family val="2"/>
        <charset val="1"/>
      </rPr>
      <t xml:space="preserve">40%</t>
    </r>
    <r>
      <rPr>
        <sz val="11"/>
        <color rgb="FF000000"/>
        <rFont val="Noto Sans CJK SC"/>
        <family val="2"/>
      </rPr>
      <t xml:space="preserve">、高风险≤</t>
    </r>
    <r>
      <rPr>
        <sz val="11"/>
        <color rgb="FF000000"/>
        <rFont val="Calibri"/>
        <family val="2"/>
        <charset val="1"/>
      </rPr>
      <t xml:space="preserve">45%</t>
    </r>
  </si>
  <si>
    <r>
      <rPr>
        <sz val="11"/>
        <color rgb="FF000000"/>
        <rFont val="Noto Sans CJK SC"/>
        <family val="2"/>
      </rPr>
      <t xml:space="preserve">费用约</t>
    </r>
    <r>
      <rPr>
        <sz val="11"/>
        <color rgb="FF000000"/>
        <rFont val="Calibri"/>
        <family val="2"/>
        <charset val="1"/>
      </rPr>
      <t xml:space="preserve">270.92</t>
    </r>
    <r>
      <rPr>
        <sz val="11"/>
        <color rgb="FF000000"/>
        <rFont val="Noto Sans CJK SC"/>
        <family val="2"/>
      </rPr>
      <t xml:space="preserve">元，净回笼约</t>
    </r>
    <r>
      <rPr>
        <sz val="11"/>
        <color rgb="FF000000"/>
        <rFont val="Calibri"/>
        <family val="2"/>
        <charset val="1"/>
      </rPr>
      <t xml:space="preserve">303,189</t>
    </r>
    <r>
      <rPr>
        <sz val="11"/>
        <color rgb="FF000000"/>
        <rFont val="Noto Sans CJK SC"/>
        <family val="2"/>
      </rPr>
      <t xml:space="preserve">元</t>
    </r>
  </si>
  <si>
    <r>
      <rPr>
        <sz val="11"/>
        <color rgb="FF000000"/>
        <rFont val="Calibri"/>
        <family val="2"/>
        <charset val="1"/>
      </rPr>
      <t xml:space="preserve">8/17</t>
    </r>
    <r>
      <rPr>
        <sz val="11"/>
        <color rgb="FF000000"/>
        <rFont val="Noto Sans CJK SC"/>
        <family val="2"/>
      </rPr>
      <t xml:space="preserve">盘中限价挂单</t>
    </r>
  </si>
  <si>
    <r>
      <rPr>
        <sz val="11"/>
        <color rgb="FF000000"/>
        <rFont val="Calibri"/>
        <family val="2"/>
        <charset val="1"/>
      </rPr>
      <t xml:space="preserve">P05/P07</t>
    </r>
    <r>
      <rPr>
        <sz val="11"/>
        <color rgb="FF000000"/>
        <rFont val="Noto Sans CJK SC"/>
        <family val="2"/>
      </rPr>
      <t xml:space="preserve">若部分未成交，</t>
    </r>
    <r>
      <rPr>
        <sz val="11"/>
        <color rgb="FF000000"/>
        <rFont val="Calibri"/>
        <family val="2"/>
        <charset val="1"/>
      </rPr>
      <t xml:space="preserve">8/18</t>
    </r>
    <r>
      <rPr>
        <sz val="11"/>
        <color rgb="FF000000"/>
        <rFont val="Noto Sans CJK SC"/>
        <family val="2"/>
      </rPr>
      <t xml:space="preserve">用</t>
    </r>
    <r>
      <rPr>
        <sz val="11"/>
        <color rgb="FF000000"/>
        <rFont val="Calibri"/>
        <family val="2"/>
        <charset val="1"/>
      </rPr>
      <t xml:space="preserve">P01</t>
    </r>
    <r>
      <rPr>
        <sz val="11"/>
        <color rgb="FF000000"/>
        <rFont val="Noto Sans CJK SC"/>
        <family val="2"/>
      </rPr>
      <t xml:space="preserve">解禁</t>
    </r>
    <r>
      <rPr>
        <sz val="11"/>
        <color rgb="FF000000"/>
        <rFont val="Calibri"/>
        <family val="2"/>
        <charset val="1"/>
      </rPr>
      <t xml:space="preserve">1000</t>
    </r>
    <r>
      <rPr>
        <sz val="11"/>
        <color rgb="FF000000"/>
        <rFont val="Noto Sans CJK SC"/>
        <family val="2"/>
      </rPr>
      <t xml:space="preserve">股补；仍不足则</t>
    </r>
    <r>
      <rPr>
        <sz val="11"/>
        <color rgb="FF000000"/>
        <rFont val="Calibri"/>
        <family val="2"/>
        <charset val="1"/>
      </rPr>
      <t xml:space="preserve">P02</t>
    </r>
    <r>
      <rPr>
        <sz val="11"/>
        <color rgb="FF000000"/>
        <rFont val="Noto Sans CJK SC"/>
        <family val="2"/>
      </rPr>
      <t xml:space="preserve">开板时补卖</t>
    </r>
  </si>
  <si>
    <r>
      <rPr>
        <sz val="11"/>
        <color rgb="FF000000"/>
        <rFont val="Noto Sans CJK SC"/>
        <family val="2"/>
      </rPr>
      <t xml:space="preserve">收盘后重算科技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高风险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单票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外币，未达标的转</t>
    </r>
    <r>
      <rPr>
        <sz val="11"/>
        <color rgb="FF000000"/>
        <rFont val="Calibri"/>
        <family val="2"/>
        <charset val="1"/>
      </rPr>
      <t xml:space="preserve">R5</t>
    </r>
  </si>
  <si>
    <r>
      <rPr>
        <sz val="11"/>
        <color rgb="FF000000"/>
        <rFont val="Calibri"/>
        <family val="2"/>
        <charset val="1"/>
      </rPr>
      <t xml:space="preserve">P05</t>
    </r>
    <r>
      <rPr>
        <sz val="11"/>
        <color rgb="FF000000"/>
        <rFont val="Noto Sans CJK SC"/>
        <family val="2"/>
      </rPr>
      <t xml:space="preserve">实时占比</t>
    </r>
    <r>
      <rPr>
        <sz val="11"/>
        <color rgb="FF000000"/>
        <rFont val="Calibri"/>
        <family val="2"/>
        <charset val="1"/>
      </rPr>
      <t xml:space="preserve">&gt;20%</t>
    </r>
    <r>
      <rPr>
        <sz val="11"/>
        <color rgb="FF000000"/>
        <rFont val="Noto Sans CJK SC"/>
        <family val="2"/>
      </rPr>
      <t xml:space="preserve">（提款后口径）</t>
    </r>
  </si>
  <si>
    <r>
      <rPr>
        <sz val="11"/>
        <color rgb="FF000000"/>
        <rFont val="Calibri"/>
        <family val="2"/>
        <charset val="1"/>
      </rPr>
      <t xml:space="preserve">P05</t>
    </r>
    <r>
      <rPr>
        <sz val="11"/>
        <color rgb="FF000000"/>
        <rFont val="Noto Sans CJK SC"/>
        <family val="2"/>
      </rPr>
      <t xml:space="preserve">上涨才恶化，触发成立</t>
    </r>
  </si>
  <si>
    <r>
      <rPr>
        <sz val="11"/>
        <color rgb="FF000000"/>
        <rFont val="Noto Sans CJK SC"/>
        <family val="2"/>
      </rPr>
      <t xml:space="preserve">在</t>
    </r>
    <r>
      <rPr>
        <sz val="11"/>
        <color rgb="FF000000"/>
        <rFont val="Calibri"/>
        <family val="2"/>
        <charset val="1"/>
      </rPr>
      <t xml:space="preserve">R1</t>
    </r>
    <r>
      <rPr>
        <sz val="11"/>
        <color rgb="FF000000"/>
        <rFont val="Noto Sans CJK SC"/>
        <family val="2"/>
      </rPr>
      <t xml:space="preserve">中保证</t>
    </r>
    <r>
      <rPr>
        <sz val="11"/>
        <color rgb="FF000000"/>
        <rFont val="Calibri"/>
        <family val="2"/>
        <charset val="1"/>
      </rPr>
      <t xml:space="preserve">P05</t>
    </r>
    <r>
      <rPr>
        <sz val="11"/>
        <color rgb="FF000000"/>
        <rFont val="Noto Sans CJK SC"/>
        <family val="2"/>
      </rPr>
      <t xml:space="preserve">卖≥</t>
    </r>
    <r>
      <rPr>
        <sz val="11"/>
        <color rgb="FF000000"/>
        <rFont val="Calibri"/>
        <family val="2"/>
        <charset val="1"/>
      </rPr>
      <t xml:space="preserve">200</t>
    </r>
    <r>
      <rPr>
        <sz val="11"/>
        <color rgb="FF000000"/>
        <rFont val="Noto Sans CJK SC"/>
        <family val="2"/>
      </rPr>
      <t xml:space="preserve">股</t>
    </r>
  </si>
  <si>
    <r>
      <rPr>
        <sz val="11"/>
        <color rgb="FF000000"/>
        <rFont val="Noto Sans CJK SC"/>
        <family val="2"/>
      </rPr>
      <t xml:space="preserve">本路径追加</t>
    </r>
    <r>
      <rPr>
        <sz val="11"/>
        <color rgb="FF000000"/>
        <rFont val="Calibri"/>
        <family val="2"/>
        <charset val="1"/>
      </rPr>
      <t xml:space="preserve">300</t>
    </r>
    <r>
      <rPr>
        <sz val="11"/>
        <color rgb="FF000000"/>
        <rFont val="Noto Sans CJK SC"/>
        <family val="2"/>
      </rPr>
      <t xml:space="preserve">股</t>
    </r>
    <r>
      <rPr>
        <sz val="11"/>
        <color rgb="FF000000"/>
        <rFont val="Calibri"/>
        <family val="2"/>
        <charset val="1"/>
      </rPr>
      <t xml:space="preserve">P05</t>
    </r>
    <r>
      <rPr>
        <sz val="11"/>
        <color rgb="FF000000"/>
        <rFont val="Noto Sans CJK SC"/>
        <family val="2"/>
      </rPr>
      <t xml:space="preserve">；基准</t>
    </r>
    <r>
      <rPr>
        <sz val="11"/>
        <color rgb="FF000000"/>
        <rFont val="Calibri"/>
        <family val="2"/>
        <charset val="1"/>
      </rPr>
      <t xml:space="preserve">2000</t>
    </r>
    <r>
      <rPr>
        <sz val="11"/>
        <color rgb="FF000000"/>
        <rFont val="Noto Sans CJK SC"/>
        <family val="2"/>
      </rPr>
      <t xml:space="preserve">股</t>
    </r>
  </si>
  <si>
    <t xml:space="preserve">P05≤20%</t>
  </si>
  <si>
    <r>
      <rPr>
        <sz val="11"/>
        <color rgb="FF000000"/>
        <rFont val="Noto Sans CJK SC"/>
        <family val="2"/>
      </rPr>
      <t xml:space="preserve">含在</t>
    </r>
    <r>
      <rPr>
        <sz val="11"/>
        <color rgb="FF000000"/>
        <rFont val="Calibri"/>
        <family val="2"/>
        <charset val="1"/>
      </rPr>
      <t xml:space="preserve">R1</t>
    </r>
    <r>
      <rPr>
        <sz val="11"/>
        <color rgb="FF000000"/>
        <rFont val="Noto Sans CJK SC"/>
        <family val="2"/>
      </rPr>
      <t xml:space="preserve">费用内</t>
    </r>
  </si>
  <si>
    <t xml:space="preserve">8/17</t>
  </si>
  <si>
    <r>
      <rPr>
        <sz val="11"/>
        <color rgb="FF000000"/>
        <rFont val="Calibri"/>
        <family val="2"/>
        <charset val="1"/>
      </rPr>
      <t xml:space="preserve">P05</t>
    </r>
    <r>
      <rPr>
        <sz val="11"/>
        <color rgb="FF000000"/>
        <rFont val="Noto Sans CJK SC"/>
        <family val="2"/>
      </rPr>
      <t xml:space="preserve">涨停无法卖则标记不可卖，改由其余科技卖出补差</t>
    </r>
  </si>
  <si>
    <r>
      <rPr>
        <sz val="11"/>
        <color rgb="FF000000"/>
        <rFont val="Noto Sans CJK SC"/>
        <family val="2"/>
      </rPr>
      <t xml:space="preserve">外币资产</t>
    </r>
    <r>
      <rPr>
        <sz val="11"/>
        <color rgb="FF000000"/>
        <rFont val="Calibri"/>
        <family val="2"/>
        <charset val="1"/>
      </rPr>
      <t xml:space="preserve">&gt;15%</t>
    </r>
    <r>
      <rPr>
        <sz val="11"/>
        <color rgb="FF000000"/>
        <rFont val="Noto Sans CJK SC"/>
        <family val="2"/>
      </rPr>
      <t xml:space="preserve">（</t>
    </r>
    <r>
      <rPr>
        <sz val="11"/>
        <color rgb="FF000000"/>
        <rFont val="Calibri"/>
        <family val="2"/>
        <charset val="1"/>
      </rPr>
      <t xml:space="preserve">P07+</t>
    </r>
    <r>
      <rPr>
        <sz val="11"/>
        <color rgb="FF000000"/>
        <rFont val="Noto Sans CJK SC"/>
        <family val="2"/>
      </rPr>
      <t xml:space="preserve">美元现金）</t>
    </r>
  </si>
  <si>
    <r>
      <rPr>
        <sz val="11"/>
        <color rgb="FF000000"/>
        <rFont val="Calibri"/>
        <family val="2"/>
        <charset val="1"/>
      </rPr>
      <t xml:space="preserve">P07</t>
    </r>
    <r>
      <rPr>
        <sz val="11"/>
        <color rgb="FF000000"/>
        <rFont val="Noto Sans CJK SC"/>
        <family val="2"/>
      </rPr>
      <t xml:space="preserve">上涨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人民币贬值才恶化</t>
    </r>
  </si>
  <si>
    <r>
      <rPr>
        <sz val="11"/>
        <color rgb="FF000000"/>
        <rFont val="Noto Sans CJK SC"/>
        <family val="2"/>
      </rPr>
      <t xml:space="preserve">卖</t>
    </r>
    <r>
      <rPr>
        <sz val="11"/>
        <color rgb="FF000000"/>
        <rFont val="Calibri"/>
        <family val="2"/>
        <charset val="1"/>
      </rPr>
      <t xml:space="preserve">P07</t>
    </r>
  </si>
  <si>
    <r>
      <rPr>
        <sz val="11"/>
        <color rgb="FF000000"/>
        <rFont val="Noto Sans CJK SC"/>
        <family val="2"/>
      </rPr>
      <t xml:space="preserve">本路径卖出</t>
    </r>
    <r>
      <rPr>
        <sz val="11"/>
        <color rgb="FF000000"/>
        <rFont val="Calibri"/>
        <family val="2"/>
        <charset val="1"/>
      </rPr>
      <t xml:space="preserve">10000</t>
    </r>
    <r>
      <rPr>
        <sz val="11"/>
        <color rgb="FF000000"/>
        <rFont val="Noto Sans CJK SC"/>
        <family val="2"/>
      </rPr>
      <t xml:space="preserve">份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全部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CJK SC"/>
        <family val="2"/>
      </rPr>
      <t xml:space="preserve">；基准</t>
    </r>
    <r>
      <rPr>
        <sz val="11"/>
        <color rgb="FF000000"/>
        <rFont val="Calibri"/>
        <family val="2"/>
        <charset val="1"/>
      </rPr>
      <t xml:space="preserve">10000</t>
    </r>
    <r>
      <rPr>
        <sz val="11"/>
        <color rgb="FF000000"/>
        <rFont val="Noto Sans CJK SC"/>
        <family val="2"/>
      </rPr>
      <t xml:space="preserve">份</t>
    </r>
  </si>
  <si>
    <r>
      <rPr>
        <sz val="11"/>
        <color rgb="FF000000"/>
        <rFont val="Noto Sans CJK SC"/>
        <family val="2"/>
      </rPr>
      <t xml:space="preserve">外币≤</t>
    </r>
    <r>
      <rPr>
        <sz val="11"/>
        <color rgb="FF000000"/>
        <rFont val="Calibri"/>
        <family val="2"/>
        <charset val="1"/>
      </rPr>
      <t xml:space="preserve">15%</t>
    </r>
  </si>
  <si>
    <r>
      <rPr>
        <sz val="11"/>
        <color rgb="FF000000"/>
        <rFont val="Calibri"/>
        <family val="2"/>
        <charset val="1"/>
      </rPr>
      <t xml:space="preserve">P07</t>
    </r>
    <r>
      <rPr>
        <sz val="11"/>
        <color rgb="FF000000"/>
        <rFont val="Noto Sans CJK SC"/>
        <family val="2"/>
      </rPr>
      <t xml:space="preserve">停牌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无法成交则当日外币无法压回，标记不可交易并监控</t>
    </r>
  </si>
  <si>
    <r>
      <rPr>
        <sz val="11"/>
        <color rgb="FF000000"/>
        <rFont val="Noto Sans CJK SC"/>
        <family val="2"/>
      </rPr>
      <t xml:space="preserve">客户确认</t>
    </r>
    <r>
      <rPr>
        <sz val="11"/>
        <color rgb="FF000000"/>
        <rFont val="Calibri"/>
        <family val="2"/>
        <charset val="1"/>
      </rPr>
      <t xml:space="preserve">8/17</t>
    </r>
    <r>
      <rPr>
        <sz val="11"/>
        <color rgb="FF000000"/>
        <rFont val="Noto Sans CJK SC"/>
        <family val="2"/>
      </rPr>
      <t xml:space="preserve">净转出</t>
    </r>
    <r>
      <rPr>
        <sz val="11"/>
        <color rgb="FF000000"/>
        <rFont val="Calibri"/>
        <family val="2"/>
        <charset val="1"/>
      </rPr>
      <t xml:space="preserve">50000</t>
    </r>
    <r>
      <rPr>
        <sz val="11"/>
        <color rgb="FF000000"/>
        <rFont val="Noto Sans CJK SC"/>
        <family val="2"/>
      </rPr>
      <t xml:space="preserve">元</t>
    </r>
  </si>
  <si>
    <t xml:space="preserve">转出直接降低现金，方向成立</t>
  </si>
  <si>
    <r>
      <rPr>
        <sz val="11"/>
        <color rgb="FF000000"/>
        <rFont val="Noto Sans CJK SC"/>
        <family val="2"/>
      </rPr>
      <t xml:space="preserve">从人民币现金划出</t>
    </r>
    <r>
      <rPr>
        <sz val="11"/>
        <color rgb="FF000000"/>
        <rFont val="Calibri"/>
        <family val="2"/>
        <charset val="1"/>
      </rPr>
      <t xml:space="preserve">50000</t>
    </r>
    <r>
      <rPr>
        <sz val="11"/>
        <color rgb="FF000000"/>
        <rFont val="Noto Sans CJK SC"/>
        <family val="2"/>
      </rPr>
      <t xml:space="preserve">元</t>
    </r>
  </si>
  <si>
    <r>
      <rPr>
        <sz val="11"/>
        <color rgb="FF000000"/>
        <rFont val="Noto Sans CJK SC"/>
        <family val="2"/>
      </rPr>
      <t xml:space="preserve">累计划出</t>
    </r>
    <r>
      <rPr>
        <sz val="11"/>
        <color rgb="FF000000"/>
        <rFont val="Calibri"/>
        <family val="2"/>
        <charset val="1"/>
      </rPr>
      <t xml:space="preserve">50000</t>
    </r>
    <r>
      <rPr>
        <sz val="11"/>
        <color rgb="FF000000"/>
        <rFont val="Noto Sans CJK SC"/>
        <family val="2"/>
      </rPr>
      <t xml:space="preserve">元</t>
    </r>
  </si>
  <si>
    <r>
      <rPr>
        <sz val="11"/>
        <color rgb="FF000000"/>
        <rFont val="Noto Sans CJK SC"/>
        <family val="2"/>
      </rPr>
      <t xml:space="preserve">现金类≥</t>
    </r>
    <r>
      <rPr>
        <sz val="11"/>
        <color rgb="FF000000"/>
        <rFont val="Calibri"/>
        <family val="2"/>
        <charset val="1"/>
      </rPr>
      <t xml:space="preserve">10%</t>
    </r>
  </si>
  <si>
    <t xml:space="preserve">无交易费用</t>
  </si>
  <si>
    <r>
      <rPr>
        <sz val="11"/>
        <color rgb="FF000000"/>
        <rFont val="Calibri"/>
        <family val="2"/>
        <charset val="1"/>
      </rPr>
      <t xml:space="preserve">8/17(</t>
    </r>
    <r>
      <rPr>
        <sz val="11"/>
        <color rgb="FF000000"/>
        <rFont val="Noto Sans CJK SC"/>
        <family val="2"/>
      </rPr>
      <t xml:space="preserve">成交款可用后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</si>
  <si>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若卖出款未到账，先以账内</t>
    </r>
    <r>
      <rPr>
        <sz val="11"/>
        <color rgb="FF000000"/>
        <rFont val="Calibri"/>
        <family val="2"/>
        <charset val="1"/>
      </rPr>
      <t xml:space="preserve">142500</t>
    </r>
    <r>
      <rPr>
        <sz val="11"/>
        <color rgb="FF000000"/>
        <rFont val="Noto Sans CJK SC"/>
        <family val="2"/>
      </rPr>
      <t xml:space="preserve">现金支付，不足则延迟到</t>
    </r>
    <r>
      <rPr>
        <sz val="11"/>
        <color rgb="FF000000"/>
        <rFont val="Calibri"/>
        <family val="2"/>
        <charset val="1"/>
      </rPr>
      <t xml:space="preserve">8/18</t>
    </r>
  </si>
  <si>
    <r>
      <rPr>
        <sz val="11"/>
        <color rgb="FF000000"/>
        <rFont val="Noto Sans CJK SC"/>
        <family val="2"/>
      </rPr>
      <t xml:space="preserve">提款后现金≥</t>
    </r>
    <r>
      <rPr>
        <sz val="11"/>
        <color rgb="FF000000"/>
        <rFont val="Calibri"/>
        <family val="2"/>
        <charset val="1"/>
      </rPr>
      <t xml:space="preserve">10%</t>
    </r>
  </si>
  <si>
    <t xml:space="preserve">R5</t>
  </si>
  <si>
    <r>
      <rPr>
        <sz val="11"/>
        <color rgb="FF000000"/>
        <rFont val="Calibri"/>
        <family val="2"/>
        <charset val="1"/>
      </rPr>
      <t xml:space="preserve">8/17</t>
    </r>
    <r>
      <rPr>
        <sz val="11"/>
        <color rgb="FF000000"/>
        <rFont val="Noto Sans CJK SC"/>
        <family val="2"/>
      </rPr>
      <t xml:space="preserve">收盘仍有任一硬约束超限，或</t>
    </r>
    <r>
      <rPr>
        <sz val="11"/>
        <color rgb="FF000000"/>
        <rFont val="Calibri"/>
        <family val="2"/>
        <charset val="1"/>
      </rPr>
      <t xml:space="preserve">P02</t>
    </r>
    <r>
      <rPr>
        <sz val="11"/>
        <color rgb="FF000000"/>
        <rFont val="Noto Sans CJK SC"/>
        <family val="2"/>
      </rPr>
      <t xml:space="preserve">跌停未开</t>
    </r>
  </si>
  <si>
    <t xml:space="preserve">继续恶化时升级</t>
  </si>
  <si>
    <r>
      <rPr>
        <sz val="11"/>
        <color rgb="FF000000"/>
        <rFont val="Noto Sans CJK SC"/>
        <family val="2"/>
      </rPr>
      <t xml:space="preserve">不得加仓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回补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做</t>
    </r>
    <r>
      <rPr>
        <sz val="11"/>
        <color rgb="FF000000"/>
        <rFont val="Calibri"/>
        <family val="2"/>
        <charset val="1"/>
      </rPr>
      <t xml:space="preserve">T</t>
    </r>
    <r>
      <rPr>
        <sz val="11"/>
        <color rgb="FF000000"/>
        <rFont val="Noto Sans CJK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8/18</t>
    </r>
    <r>
      <rPr>
        <sz val="11"/>
        <color rgb="FF000000"/>
        <rFont val="Noto Sans CJK SC"/>
        <family val="2"/>
      </rPr>
      <t xml:space="preserve">用</t>
    </r>
    <r>
      <rPr>
        <sz val="11"/>
        <color rgb="FF000000"/>
        <rFont val="Calibri"/>
        <family val="2"/>
        <charset val="1"/>
      </rPr>
      <t xml:space="preserve">P01</t>
    </r>
    <r>
      <rPr>
        <sz val="11"/>
        <color rgb="FF000000"/>
        <rFont val="Noto Sans CJK SC"/>
        <family val="2"/>
      </rPr>
      <t xml:space="preserve">解禁</t>
    </r>
    <r>
      <rPr>
        <sz val="11"/>
        <color rgb="FF000000"/>
        <rFont val="Calibri"/>
        <family val="2"/>
        <charset val="1"/>
      </rPr>
      <t xml:space="preserve">1000</t>
    </r>
    <r>
      <rPr>
        <sz val="11"/>
        <color rgb="FF000000"/>
        <rFont val="Noto Sans CJK SC"/>
        <family val="2"/>
      </rPr>
      <t xml:space="preserve">股重算补卖</t>
    </r>
  </si>
  <si>
    <t xml:space="preserve">本阶段按缺口追加，整手向上取整</t>
  </si>
  <si>
    <t xml:space="preserve">全部≤限额</t>
  </si>
  <si>
    <t xml:space="preserve">按实际成交额重算</t>
  </si>
  <si>
    <t xml:space="preserve">8/18</t>
  </si>
  <si>
    <r>
      <rPr>
        <sz val="11"/>
        <color rgb="FF000000"/>
        <rFont val="Calibri"/>
        <family val="2"/>
        <charset val="1"/>
      </rPr>
      <t xml:space="preserve">P04</t>
    </r>
    <r>
      <rPr>
        <sz val="11"/>
        <color rgb="FF000000"/>
        <rFont val="Noto Sans CJK SC"/>
        <family val="2"/>
      </rPr>
      <t xml:space="preserve">仍停牌则其敞口冻结，不纳入可卖，仅监控</t>
    </r>
  </si>
  <si>
    <t xml:space="preserve">复核回到限内前禁止扩大敞口</t>
  </si>
  <si>
    <t xml:space="preserve">R6</t>
  </si>
  <si>
    <r>
      <rPr>
        <sz val="11"/>
        <color rgb="FF000000"/>
        <rFont val="Calibri"/>
        <family val="2"/>
        <charset val="1"/>
      </rPr>
      <t xml:space="preserve">P04</t>
    </r>
    <r>
      <rPr>
        <sz val="11"/>
        <color rgb="FF000000"/>
        <rFont val="Noto Sans CJK SC"/>
        <family val="2"/>
      </rPr>
      <t xml:space="preserve">复牌日确定</t>
    </r>
  </si>
  <si>
    <t xml:space="preserve">复牌后才可交易</t>
  </si>
  <si>
    <t xml:space="preserve">复牌首日按当时权重决定是否纳入卖出计划</t>
  </si>
  <si>
    <t xml:space="preserve">届时重算</t>
  </si>
  <si>
    <t xml:space="preserve">复牌日</t>
  </si>
  <si>
    <t xml:space="preserve">复牌补跌先不接，待价格稳定再评估</t>
  </si>
  <si>
    <t xml:space="preserve">复牌后权重与流动性</t>
  </si>
  <si>
    <t xml:space="preserve">假设与缺失清单（勾稽残差、口径与待确认项）</t>
  </si>
  <si>
    <t xml:space="preserve">条目</t>
  </si>
  <si>
    <t xml:space="preserve">类型</t>
  </si>
  <si>
    <r>
      <rPr>
        <b val="true"/>
        <sz val="11"/>
        <color rgb="FFFFFFFF"/>
        <rFont val="Noto Sans CJK SC"/>
        <family val="2"/>
      </rPr>
      <t xml:space="preserve">来源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推断依据</t>
    </r>
  </si>
  <si>
    <t xml:space="preserve">影响哪些结论</t>
  </si>
  <si>
    <t xml:space="preserve">补齐后需重算什么</t>
  </si>
  <si>
    <r>
      <rPr>
        <sz val="11"/>
        <color rgb="FF000000"/>
        <rFont val="Noto Sans CJK SC"/>
        <family val="2"/>
      </rPr>
      <t xml:space="preserve">托管锚总资产</t>
    </r>
    <r>
      <rPr>
        <sz val="11"/>
        <color rgb="FF000000"/>
        <rFont val="Calibri"/>
        <family val="2"/>
        <charset val="1"/>
      </rPr>
      <t xml:space="preserve">1,032,660</t>
    </r>
    <r>
      <rPr>
        <sz val="11"/>
        <color rgb="FF000000"/>
        <rFont val="Noto Sans CJK SC"/>
        <family val="2"/>
      </rPr>
      <t xml:space="preserve">作为主分母</t>
    </r>
  </si>
  <si>
    <t xml:space="preserve">已确认事实</t>
  </si>
  <si>
    <r>
      <rPr>
        <sz val="11"/>
        <color rgb="FF000000"/>
        <rFont val="Calibri"/>
        <family val="2"/>
        <charset val="1"/>
      </rPr>
      <t xml:space="preserve">869820+142500+3000×7.18−1200</t>
    </r>
    <r>
      <rPr>
        <sz val="11"/>
        <color rgb="FF000000"/>
        <rFont val="Noto Sans CJK SC"/>
        <family val="2"/>
      </rPr>
      <t xml:space="preserve">，逐项勾稽一致</t>
    </r>
  </si>
  <si>
    <t xml:space="preserve">全部权重与限额判定</t>
  </si>
  <si>
    <r>
      <rPr>
        <sz val="11"/>
        <color rgb="FF000000"/>
        <rFont val="Noto Sans CJK SC"/>
        <family val="2"/>
      </rPr>
      <t xml:space="preserve">组合经理手工总资产</t>
    </r>
    <r>
      <rPr>
        <sz val="11"/>
        <color rgb="FF000000"/>
        <rFont val="Calibri"/>
        <family val="2"/>
        <charset val="1"/>
      </rPr>
      <t xml:space="preserve">1,029,000</t>
    </r>
  </si>
  <si>
    <t xml:space="preserve">仍缺证据</t>
  </si>
  <si>
    <r>
      <rPr>
        <sz val="11"/>
        <color rgb="FF000000"/>
        <rFont val="Noto Sans CJK SC"/>
        <family val="2"/>
      </rPr>
      <t xml:space="preserve">较托管锚少</t>
    </r>
    <r>
      <rPr>
        <sz val="11"/>
        <color rgb="FF000000"/>
        <rFont val="Calibri"/>
        <family val="2"/>
        <charset val="1"/>
      </rPr>
      <t xml:space="preserve">3,660</t>
    </r>
    <r>
      <rPr>
        <sz val="11"/>
        <color rgb="FF000000"/>
        <rFont val="Noto Sans CJK SC"/>
        <family val="2"/>
      </rPr>
      <t xml:space="preserve">元，附件未给差异来源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估值时点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费用预提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折算口径均可能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</si>
  <si>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若改用手工锚，各权重约</t>
    </r>
    <r>
      <rPr>
        <sz val="11"/>
        <color rgb="FF000000"/>
        <rFont val="Calibri"/>
        <family val="2"/>
        <charset val="1"/>
      </rPr>
      <t xml:space="preserve">+0.35pp</t>
    </r>
    <r>
      <rPr>
        <sz val="11"/>
        <color rgb="FF000000"/>
        <rFont val="Noto Sans CJK SC"/>
        <family val="2"/>
      </rPr>
      <t xml:space="preserve">，超限方向不变</t>
    </r>
  </si>
  <si>
    <r>
      <rPr>
        <sz val="11"/>
        <color rgb="FF000000"/>
        <rFont val="Noto Sans CJK SC"/>
        <family val="2"/>
      </rPr>
      <t xml:space="preserve">取得差异来源后重算权重；外币</t>
    </r>
    <r>
      <rPr>
        <sz val="11"/>
        <color rgb="FF000000"/>
        <rFont val="Calibri"/>
        <family val="2"/>
        <charset val="1"/>
      </rPr>
      <t xml:space="preserve">15.72%</t>
    </r>
    <r>
      <rPr>
        <sz val="11"/>
        <color rgb="FF000000"/>
        <rFont val="Noto Sans CJK SC"/>
        <family val="2"/>
      </rPr>
      <t xml:space="preserve">最敏感</t>
    </r>
  </si>
  <si>
    <r>
      <rPr>
        <sz val="11"/>
        <color rgb="FF000000"/>
        <rFont val="Calibri"/>
        <family val="2"/>
        <charset val="1"/>
      </rPr>
      <t xml:space="preserve">P06</t>
    </r>
    <r>
      <rPr>
        <sz val="11"/>
        <color rgb="FF000000"/>
        <rFont val="Noto Sans CJK SC"/>
        <family val="2"/>
      </rPr>
      <t xml:space="preserve">成本按除息后重建</t>
    </r>
    <r>
      <rPr>
        <sz val="11"/>
        <color rgb="FF000000"/>
        <rFont val="Calibri"/>
        <family val="2"/>
        <charset val="1"/>
      </rPr>
      <t xml:space="preserve">2.30</t>
    </r>
  </si>
  <si>
    <t xml:space="preserve">合理推断</t>
  </si>
  <si>
    <r>
      <rPr>
        <sz val="11"/>
        <color rgb="FF000000"/>
        <rFont val="Noto Sans CJK SC"/>
        <family val="2"/>
      </rPr>
      <t xml:space="preserve">每份派</t>
    </r>
    <r>
      <rPr>
        <sz val="11"/>
        <color rgb="FF000000"/>
        <rFont val="Calibri"/>
        <family val="2"/>
        <charset val="1"/>
      </rPr>
      <t xml:space="preserve">0.80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3.10−0.80=2.30</t>
    </r>
    <r>
      <rPr>
        <sz val="11"/>
        <color rgb="FF000000"/>
        <rFont val="Noto Sans CJK SC"/>
        <family val="2"/>
      </rPr>
      <t xml:space="preserve">；除息参考价</t>
    </r>
    <r>
      <rPr>
        <sz val="11"/>
        <color rgb="FF000000"/>
        <rFont val="Calibri"/>
        <family val="2"/>
        <charset val="1"/>
      </rPr>
      <t xml:space="preserve">2.88</t>
    </r>
    <r>
      <rPr>
        <sz val="11"/>
        <color rgb="FF000000"/>
        <rFont val="Noto Sans CJK SC"/>
        <family val="2"/>
      </rPr>
      <t xml:space="preserve">仅作涨跌幅参照</t>
    </r>
  </si>
  <si>
    <r>
      <rPr>
        <sz val="11"/>
        <color rgb="FF000000"/>
        <rFont val="Calibri"/>
        <family val="2"/>
        <charset val="1"/>
      </rPr>
      <t xml:space="preserve">P06</t>
    </r>
    <r>
      <rPr>
        <sz val="11"/>
        <color rgb="FF000000"/>
        <rFont val="Noto Sans CJK SC"/>
        <family val="2"/>
      </rPr>
      <t xml:space="preserve">浮动盈亏由账面</t>
    </r>
    <r>
      <rPr>
        <sz val="11"/>
        <color rgb="FF000000"/>
        <rFont val="Calibri"/>
        <family val="2"/>
        <charset val="1"/>
      </rPr>
      <t xml:space="preserve">-2200</t>
    </r>
    <r>
      <rPr>
        <sz val="11"/>
        <color rgb="FF000000"/>
        <rFont val="Noto Sans CJK SC"/>
        <family val="2"/>
      </rPr>
      <t xml:space="preserve">修正为含息</t>
    </r>
    <r>
      <rPr>
        <sz val="11"/>
        <color rgb="FF000000"/>
        <rFont val="Calibri"/>
        <family val="2"/>
        <charset val="1"/>
      </rPr>
      <t xml:space="preserve">+5800</t>
    </r>
  </si>
  <si>
    <r>
      <rPr>
        <sz val="11"/>
        <color rgb="FF000000"/>
        <rFont val="Noto Sans CJK SC"/>
        <family val="2"/>
      </rPr>
      <t xml:space="preserve">现金股息</t>
    </r>
    <r>
      <rPr>
        <sz val="11"/>
        <color rgb="FF000000"/>
        <rFont val="Calibri"/>
        <family val="2"/>
        <charset val="1"/>
      </rPr>
      <t xml:space="preserve">8000</t>
    </r>
    <r>
      <rPr>
        <sz val="11"/>
        <color rgb="FF000000"/>
        <rFont val="Noto Sans CJK SC"/>
        <family val="2"/>
      </rPr>
      <t xml:space="preserve">元已在</t>
    </r>
    <r>
      <rPr>
        <sz val="11"/>
        <color rgb="FF000000"/>
        <rFont val="Calibri"/>
        <family val="2"/>
        <charset val="1"/>
      </rPr>
      <t xml:space="preserve">142500</t>
    </r>
    <r>
      <rPr>
        <sz val="11"/>
        <color rgb="FF000000"/>
        <rFont val="Noto Sans CJK SC"/>
        <family val="2"/>
      </rPr>
      <t xml:space="preserve">现金内，到账日需确认</t>
    </r>
  </si>
  <si>
    <r>
      <rPr>
        <sz val="11"/>
        <color rgb="FF000000"/>
        <rFont val="Calibri"/>
        <family val="2"/>
        <charset val="1"/>
      </rPr>
      <t xml:space="preserve">P07</t>
    </r>
    <r>
      <rPr>
        <sz val="11"/>
        <color rgb="FF000000"/>
        <rFont val="Noto Sans CJK SC"/>
        <family val="2"/>
      </rPr>
      <t xml:space="preserve">按</t>
    </r>
    <r>
      <rPr>
        <sz val="11"/>
        <color rgb="FF000000"/>
        <rFont val="Calibri"/>
        <family val="2"/>
        <charset val="1"/>
      </rPr>
      <t xml:space="preserve">0.92</t>
    </r>
    <r>
      <rPr>
        <sz val="11"/>
        <color rgb="FF000000"/>
        <rFont val="Noto Sans CJK SC"/>
        <family val="2"/>
      </rPr>
      <t xml:space="preserve">折人民币</t>
    </r>
  </si>
  <si>
    <r>
      <rPr>
        <sz val="11"/>
        <color rgb="FF000000"/>
        <rFont val="Noto Sans CJK SC"/>
        <family val="2"/>
      </rPr>
      <t xml:space="preserve">附件</t>
    </r>
    <r>
      <rPr>
        <sz val="11"/>
        <color rgb="FF000000"/>
        <rFont val="Calibri"/>
        <family val="2"/>
        <charset val="1"/>
      </rPr>
      <t xml:space="preserve">P07</t>
    </r>
    <r>
      <rPr>
        <sz val="11"/>
        <color rgb="FF000000"/>
        <rFont val="Noto Sans CJK SC"/>
        <family val="2"/>
      </rPr>
      <t xml:space="preserve">说明给定</t>
    </r>
    <r>
      <rPr>
        <sz val="11"/>
        <color rgb="FF000000"/>
        <rFont val="Calibri"/>
        <family val="2"/>
        <charset val="1"/>
      </rPr>
      <t xml:space="preserve">0.92</t>
    </r>
  </si>
  <si>
    <r>
      <rPr>
        <sz val="11"/>
        <color rgb="FF000000"/>
        <rFont val="Calibri"/>
        <family val="2"/>
        <charset val="1"/>
      </rPr>
      <t xml:space="preserve">P07</t>
    </r>
    <r>
      <rPr>
        <sz val="11"/>
        <color rgb="FF000000"/>
        <rFont val="Noto Sans CJK SC"/>
        <family val="2"/>
      </rPr>
      <t xml:space="preserve">市值、外币敞口</t>
    </r>
  </si>
  <si>
    <t xml:space="preserve">实际结算币种与到账汇率需券商确认</t>
  </si>
  <si>
    <r>
      <rPr>
        <sz val="11"/>
        <color rgb="FF000000"/>
        <rFont val="Calibri"/>
        <family val="2"/>
        <charset val="1"/>
      </rPr>
      <t xml:space="preserve">P04</t>
    </r>
    <r>
      <rPr>
        <sz val="11"/>
        <color rgb="FF000000"/>
        <rFont val="Noto Sans CJK SC"/>
        <family val="2"/>
      </rPr>
      <t xml:space="preserve">按</t>
    </r>
    <r>
      <rPr>
        <sz val="11"/>
        <color rgb="FF000000"/>
        <rFont val="Calibri"/>
        <family val="2"/>
        <charset val="1"/>
      </rPr>
      <t xml:space="preserve">8/13</t>
    </r>
    <r>
      <rPr>
        <sz val="11"/>
        <color rgb="FF000000"/>
        <rFont val="Noto Sans CJK SC"/>
        <family val="2"/>
      </rPr>
      <t xml:space="preserve">价</t>
    </r>
    <r>
      <rPr>
        <sz val="11"/>
        <color rgb="FF000000"/>
        <rFont val="Calibri"/>
        <family val="2"/>
        <charset val="1"/>
      </rPr>
      <t xml:space="preserve">12.35</t>
    </r>
    <r>
      <rPr>
        <sz val="11"/>
        <color rgb="FF000000"/>
        <rFont val="Noto Sans CJK SC"/>
        <family val="2"/>
      </rPr>
      <t xml:space="preserve">估值</t>
    </r>
  </si>
  <si>
    <r>
      <rPr>
        <sz val="11"/>
        <color rgb="FF000000"/>
        <rFont val="Calibri"/>
        <family val="2"/>
        <charset val="1"/>
      </rPr>
      <t xml:space="preserve">8/14</t>
    </r>
    <r>
      <rPr>
        <sz val="11"/>
        <color rgb="FF000000"/>
        <rFont val="Noto Sans CJK SC"/>
        <family val="2"/>
      </rPr>
      <t xml:space="preserve">停牌、复牌日未定</t>
    </r>
  </si>
  <si>
    <r>
      <rPr>
        <sz val="11"/>
        <color rgb="FF000000"/>
        <rFont val="Calibri"/>
        <family val="2"/>
        <charset val="1"/>
      </rPr>
      <t xml:space="preserve">P04</t>
    </r>
    <r>
      <rPr>
        <sz val="11"/>
        <color rgb="FF000000"/>
        <rFont val="Noto Sans CJK SC"/>
        <family val="2"/>
      </rPr>
      <t xml:space="preserve">市值</t>
    </r>
    <r>
      <rPr>
        <sz val="11"/>
        <color rgb="FF000000"/>
        <rFont val="Calibri"/>
        <family val="2"/>
        <charset val="1"/>
      </rPr>
      <t xml:space="preserve">74100(7.5%)</t>
    </r>
    <r>
      <rPr>
        <sz val="11"/>
        <color rgb="FF000000"/>
        <rFont val="Noto Sans CJK SC"/>
        <family val="2"/>
      </rPr>
      <t xml:space="preserve">冻结，不可卖</t>
    </r>
  </si>
  <si>
    <t xml:space="preserve">复牌后按市价重估与权重</t>
  </si>
  <si>
    <r>
      <rPr>
        <sz val="11"/>
        <color rgb="FF000000"/>
        <rFont val="Calibri"/>
        <family val="2"/>
        <charset val="1"/>
      </rPr>
      <t xml:space="preserve">P02</t>
    </r>
    <r>
      <rPr>
        <sz val="11"/>
        <color rgb="FF000000"/>
        <rFont val="Noto Sans CJK SC"/>
        <family val="2"/>
      </rPr>
      <t xml:space="preserve">周一开板假设</t>
    </r>
  </si>
  <si>
    <t xml:space="preserve">情景假设</t>
  </si>
  <si>
    <t xml:space="preserve">主路径保守假设其不开板；开板为替代路径</t>
  </si>
  <si>
    <r>
      <rPr>
        <sz val="11"/>
        <color rgb="FF000000"/>
        <rFont val="Noto Sans CJK SC"/>
        <family val="2"/>
      </rPr>
      <t xml:space="preserve">决定卖</t>
    </r>
    <r>
      <rPr>
        <sz val="11"/>
        <color rgb="FF000000"/>
        <rFont val="Calibri"/>
        <family val="2"/>
        <charset val="1"/>
      </rPr>
      <t xml:space="preserve">P02</t>
    </r>
    <r>
      <rPr>
        <sz val="11"/>
        <color rgb="FF000000"/>
        <rFont val="Noto Sans CJK SC"/>
        <family val="2"/>
      </rPr>
      <t xml:space="preserve">还是卖</t>
    </r>
    <r>
      <rPr>
        <sz val="11"/>
        <color rgb="FF000000"/>
        <rFont val="Calibri"/>
        <family val="2"/>
        <charset val="1"/>
      </rPr>
      <t xml:space="preserve">P01/P05</t>
    </r>
  </si>
  <si>
    <t xml:space="preserve">周一开盘看涨跌停状态再选路径</t>
  </si>
  <si>
    <r>
      <rPr>
        <sz val="11"/>
        <color rgb="FF000000"/>
        <rFont val="Noto Sans CJK SC"/>
        <family val="2"/>
      </rPr>
      <t xml:space="preserve">卖出成交款</t>
    </r>
    <r>
      <rPr>
        <sz val="11"/>
        <color rgb="FF000000"/>
        <rFont val="Calibri"/>
        <family val="2"/>
        <charset val="1"/>
      </rPr>
      <t xml:space="preserve">T+0</t>
    </r>
    <r>
      <rPr>
        <sz val="11"/>
        <color rgb="FF000000"/>
        <rFont val="Noto Sans CJK SC"/>
        <family val="2"/>
      </rPr>
      <t xml:space="preserve">可用</t>
    </r>
    <r>
      <rPr>
        <sz val="11"/>
        <color rgb="FF000000"/>
        <rFont val="Calibri"/>
        <family val="2"/>
        <charset val="1"/>
      </rPr>
      <t xml:space="preserve">/T+1</t>
    </r>
    <r>
      <rPr>
        <sz val="11"/>
        <color rgb="FF000000"/>
        <rFont val="Noto Sans CJK SC"/>
        <family val="2"/>
      </rPr>
      <t xml:space="preserve">可取</t>
    </r>
  </si>
  <si>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CJK SC"/>
        <family val="2"/>
      </rPr>
      <t xml:space="preserve">股通行结算</t>
    </r>
  </si>
  <si>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万提款时点</t>
    </r>
  </si>
  <si>
    <r>
      <rPr>
        <sz val="11"/>
        <color rgb="FF000000"/>
        <rFont val="Noto Sans CJK SC"/>
        <family val="2"/>
      </rPr>
      <t xml:space="preserve">若遇交收延迟，提款顺延至</t>
    </r>
    <r>
      <rPr>
        <sz val="11"/>
        <color rgb="FF000000"/>
        <rFont val="Calibri"/>
        <family val="2"/>
        <charset val="1"/>
      </rPr>
      <t xml:space="preserve">8/18</t>
    </r>
  </si>
  <si>
    <t xml:space="preserve">不融资融券、无场外杠杆</t>
  </si>
  <si>
    <t xml:space="preserve">账户授权说明</t>
  </si>
  <si>
    <t xml:space="preserve">风险预算口径</t>
  </si>
  <si>
    <t xml:space="preserve">交付自检回执（逐行填值，不打勾）</t>
  </si>
  <si>
    <t xml:space="preserve">自检项</t>
  </si>
  <si>
    <t xml:space="preserve">填写值</t>
  </si>
  <si>
    <t xml:space="preserve">交付清单</t>
  </si>
  <si>
    <r>
      <rPr>
        <sz val="11"/>
        <color rgb="FF000000"/>
        <rFont val="Noto Sans CJK SC"/>
        <family val="2"/>
      </rPr>
      <t xml:space="preserve">声明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件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实际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件：组合持仓诊断与交易纪律</t>
    </r>
    <r>
      <rPr>
        <sz val="11"/>
        <color rgb="FF000000"/>
        <rFont val="Calibri"/>
        <family val="2"/>
        <charset val="1"/>
      </rPr>
      <t xml:space="preserve">.xlsx</t>
    </r>
    <r>
      <rPr>
        <sz val="11"/>
        <color rgb="FF000000"/>
        <rFont val="Noto Sans CJK SC"/>
        <family val="2"/>
      </rPr>
      <t xml:space="preserve">（内含输入快照、勾稽、日历、硬约束、方案、交易明细、规则、假设、自检）</t>
    </r>
  </si>
  <si>
    <t xml:space="preserve">交付主工件是否为文件</t>
  </si>
  <si>
    <r>
      <rPr>
        <sz val="11"/>
        <color rgb="FF000000"/>
        <rFont val="Noto Sans CJK SC"/>
        <family val="2"/>
      </rPr>
      <t xml:space="preserve">是，</t>
    </r>
    <r>
      <rPr>
        <sz val="11"/>
        <color rgb="FF000000"/>
        <rFont val="Calibri"/>
        <family val="2"/>
        <charset val="1"/>
      </rPr>
      <t xml:space="preserve">.xlsx</t>
    </r>
    <r>
      <rPr>
        <sz val="11"/>
        <color rgb="FF000000"/>
        <rFont val="Noto Sans CJK SC"/>
        <family val="2"/>
      </rPr>
      <t xml:space="preserve">工作簿</t>
    </r>
  </si>
  <si>
    <t xml:space="preserve">工作簿可复算抽查</t>
  </si>
  <si>
    <r>
      <rPr>
        <sz val="11"/>
        <color rgb="FF000000"/>
        <rFont val="Noto Sans CJK SC"/>
        <family val="2"/>
      </rPr>
      <t xml:space="preserve">勾稽</t>
    </r>
    <r>
      <rPr>
        <sz val="11"/>
        <color rgb="FF000000"/>
        <rFont val="Calibri"/>
        <family val="2"/>
        <charset val="1"/>
      </rPr>
      <t xml:space="preserve">!C9</t>
    </r>
    <r>
      <rPr>
        <sz val="11"/>
        <color rgb="FF000000"/>
        <rFont val="Noto Sans CJK SC"/>
        <family val="2"/>
      </rPr>
      <t xml:space="preserve">托管锚</t>
    </r>
    <r>
      <rPr>
        <sz val="11"/>
        <color rgb="FF000000"/>
        <rFont val="Calibri"/>
        <family val="2"/>
        <charset val="1"/>
      </rPr>
      <t xml:space="preserve">=869820+142500+3000×7.18−1200=1,032,660</t>
    </r>
    <r>
      <rPr>
        <sz val="11"/>
        <color rgb="FF000000"/>
        <rFont val="Noto Sans CJK SC"/>
        <family val="2"/>
      </rPr>
      <t xml:space="preserve">；交易明细</t>
    </r>
    <r>
      <rPr>
        <sz val="11"/>
        <color rgb="FF000000"/>
        <rFont val="Calibri"/>
        <family val="2"/>
        <charset val="1"/>
      </rPr>
      <t xml:space="preserve">!H7</t>
    </r>
    <r>
      <rPr>
        <sz val="11"/>
        <color rgb="FF000000"/>
        <rFont val="Noto Sans CJK SC"/>
        <family val="2"/>
      </rPr>
      <t xml:space="preserve">费用合计公式</t>
    </r>
    <r>
      <rPr>
        <sz val="11"/>
        <color rgb="FF000000"/>
        <rFont val="Calibri"/>
        <family val="2"/>
        <charset val="1"/>
      </rPr>
      <t xml:space="preserve">=SUM(H4:H6)</t>
    </r>
    <r>
      <rPr>
        <sz val="11"/>
        <color rgb="FF000000"/>
        <rFont val="Noto Sans CJK SC"/>
        <family val="2"/>
      </rPr>
      <t xml:space="preserve">；已用</t>
    </r>
    <r>
      <rPr>
        <sz val="11"/>
        <color rgb="FF000000"/>
        <rFont val="Calibri"/>
        <family val="2"/>
        <charset val="1"/>
      </rPr>
      <t xml:space="preserve">LibreOffice</t>
    </r>
    <r>
      <rPr>
        <sz val="11"/>
        <color rgb="FF000000"/>
        <rFont val="Noto Sans CJK SC"/>
        <family val="2"/>
      </rPr>
      <t xml:space="preserve">重算无</t>
    </r>
    <r>
      <rPr>
        <sz val="11"/>
        <color rgb="FF000000"/>
        <rFont val="Calibri"/>
        <family val="2"/>
        <charset val="1"/>
      </rPr>
      <t xml:space="preserve">#REF/#DIV</t>
    </r>
  </si>
  <si>
    <t xml:space="preserve">占比分母</t>
  </si>
  <si>
    <r>
      <rPr>
        <sz val="11"/>
        <color rgb="FF000000"/>
        <rFont val="Noto Sans CJK SC"/>
        <family val="2"/>
      </rPr>
      <t xml:space="preserve">权重分母</t>
    </r>
    <r>
      <rPr>
        <sz val="11"/>
        <color rgb="FF000000"/>
        <rFont val="Calibri"/>
        <family val="2"/>
        <charset val="1"/>
      </rPr>
      <t xml:space="preserve">=</t>
    </r>
    <r>
      <rPr>
        <sz val="11"/>
        <color rgb="FF000000"/>
        <rFont val="Noto Sans CJK SC"/>
        <family val="2"/>
      </rPr>
      <t xml:space="preserve">提款后托管净总资产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主路径≈</t>
    </r>
    <r>
      <rPr>
        <sz val="11"/>
        <color rgb="FF000000"/>
        <rFont val="Calibri"/>
        <family val="2"/>
        <charset val="1"/>
      </rPr>
      <t xml:space="preserve">982,389)</t>
    </r>
    <r>
      <rPr>
        <sz val="11"/>
        <color rgb="FF000000"/>
        <rFont val="Noto Sans CJK SC"/>
        <family val="2"/>
      </rPr>
      <t xml:space="preserve">；当前值分母</t>
    </r>
    <r>
      <rPr>
        <sz val="11"/>
        <color rgb="FF000000"/>
        <rFont val="Calibri"/>
        <family val="2"/>
        <charset val="1"/>
      </rPr>
      <t xml:space="preserve">=8/14</t>
    </r>
    <r>
      <rPr>
        <sz val="11"/>
        <color rgb="FF000000"/>
        <rFont val="Noto Sans CJK SC"/>
        <family val="2"/>
      </rPr>
      <t xml:space="preserve">托管净</t>
    </r>
    <r>
      <rPr>
        <sz val="11"/>
        <color rgb="FF000000"/>
        <rFont val="Calibri"/>
        <family val="2"/>
        <charset val="1"/>
      </rPr>
      <t xml:space="preserve">1,032,660</t>
    </r>
  </si>
  <si>
    <r>
      <rPr>
        <sz val="11"/>
        <color rgb="FF000000"/>
        <rFont val="Noto Sans CJK SC"/>
        <family val="2"/>
      </rPr>
      <t xml:space="preserve">科技主题；当前</t>
    </r>
    <r>
      <rPr>
        <sz val="11"/>
        <color rgb="FF000000"/>
        <rFont val="Calibri"/>
        <family val="2"/>
        <charset val="1"/>
      </rPr>
      <t xml:space="preserve">66.81%</t>
    </r>
    <r>
      <rPr>
        <sz val="11"/>
        <color rgb="FF000000"/>
        <rFont val="Noto Sans CJK SC"/>
        <family val="2"/>
      </rPr>
      <t xml:space="preserve">；限额</t>
    </r>
    <r>
      <rPr>
        <sz val="11"/>
        <color rgb="FF000000"/>
        <rFont val="Calibri"/>
        <family val="2"/>
        <charset val="1"/>
      </rPr>
      <t xml:space="preserve">40%</t>
    </r>
    <r>
      <rPr>
        <sz val="11"/>
        <color rgb="FF000000"/>
        <rFont val="Noto Sans CJK SC"/>
        <family val="2"/>
      </rPr>
      <t xml:space="preserve">；反解须压降科技市值约</t>
    </r>
    <r>
      <rPr>
        <sz val="11"/>
        <color rgb="FF000000"/>
        <rFont val="Calibri"/>
        <family val="2"/>
        <charset val="1"/>
      </rPr>
      <t xml:space="preserve">29.7</t>
    </r>
    <r>
      <rPr>
        <sz val="11"/>
        <color rgb="FF000000"/>
        <rFont val="Noto Sans CJK SC"/>
        <family val="2"/>
      </rPr>
      <t xml:space="preserve">万；对应</t>
    </r>
    <r>
      <rPr>
        <sz val="11"/>
        <color rgb="FF000000"/>
        <rFont val="Calibri"/>
        <family val="2"/>
        <charset val="1"/>
      </rPr>
      <t xml:space="preserve">R1</t>
    </r>
  </si>
  <si>
    <t xml:space="preserve">分解型占比加总</t>
  </si>
  <si>
    <r>
      <rPr>
        <sz val="11"/>
        <color rgb="FF000000"/>
        <rFont val="Noto Sans CJK SC"/>
        <family val="2"/>
      </rPr>
      <t xml:space="preserve">各标的权重之和</t>
    </r>
    <r>
      <rPr>
        <sz val="11"/>
        <color rgb="FF000000"/>
        <rFont val="Calibri"/>
        <family val="2"/>
        <charset val="1"/>
      </rPr>
      <t xml:space="preserve">=100%</t>
    </r>
    <r>
      <rPr>
        <sz val="11"/>
        <color rgb="FF000000"/>
        <rFont val="Noto Sans CJK SC"/>
        <family val="2"/>
      </rPr>
      <t xml:space="preserve">；科技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高风险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行业分解加总已核对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见方案对比</t>
    </r>
    <r>
      <rPr>
        <sz val="11"/>
        <color rgb="FF000000"/>
        <rFont val="Calibri"/>
        <family val="2"/>
        <charset val="1"/>
      </rPr>
      <t xml:space="preserve">)</t>
    </r>
  </si>
  <si>
    <t xml:space="preserve">最不利情景</t>
  </si>
  <si>
    <r>
      <rPr>
        <sz val="11"/>
        <color rgb="FF000000"/>
        <rFont val="Calibri"/>
        <family val="2"/>
        <charset val="1"/>
      </rPr>
      <t xml:space="preserve">P02</t>
    </r>
    <r>
      <rPr>
        <sz val="11"/>
        <color rgb="FF000000"/>
        <rFont val="Noto Sans CJK SC"/>
        <family val="2"/>
      </rPr>
      <t xml:space="preserve">继续跌停、</t>
    </r>
    <r>
      <rPr>
        <sz val="11"/>
        <color rgb="FF000000"/>
        <rFont val="Calibri"/>
        <family val="2"/>
        <charset val="1"/>
      </rPr>
      <t xml:space="preserve">P04</t>
    </r>
    <r>
      <rPr>
        <sz val="11"/>
        <color rgb="FF000000"/>
        <rFont val="Noto Sans CJK SC"/>
        <family val="2"/>
      </rPr>
      <t xml:space="preserve">停牌：主路径仍可压回全部限额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科技</t>
    </r>
    <r>
      <rPr>
        <sz val="11"/>
        <color rgb="FF000000"/>
        <rFont val="Calibri"/>
        <family val="2"/>
        <charset val="1"/>
      </rPr>
      <t xml:space="preserve">39.34%)</t>
    </r>
  </si>
  <si>
    <t xml:space="preserve">日期来源</t>
  </si>
  <si>
    <r>
      <rPr>
        <sz val="11"/>
        <color rgb="FF000000"/>
        <rFont val="Noto Sans CJK SC"/>
        <family val="2"/>
      </rPr>
      <t xml:space="preserve">行动日</t>
    </r>
    <r>
      <rPr>
        <sz val="11"/>
        <color rgb="FF000000"/>
        <rFont val="Calibri"/>
        <family val="2"/>
        <charset val="1"/>
      </rPr>
      <t xml:space="preserve">8/17(</t>
    </r>
    <r>
      <rPr>
        <sz val="11"/>
        <color rgb="FF000000"/>
        <rFont val="Noto Sans CJK SC"/>
        <family val="2"/>
      </rPr>
      <t xml:space="preserve">周一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CJK SC"/>
        <family val="2"/>
      </rPr>
      <t xml:space="preserve">、后手</t>
    </r>
    <r>
      <rPr>
        <sz val="11"/>
        <color rgb="FF000000"/>
        <rFont val="Calibri"/>
        <family val="2"/>
        <charset val="1"/>
      </rPr>
      <t xml:space="preserve">8/18(</t>
    </r>
    <r>
      <rPr>
        <sz val="11"/>
        <color rgb="FF000000"/>
        <rFont val="Noto Sans CJK SC"/>
        <family val="2"/>
      </rPr>
      <t xml:space="preserve">周二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CJK SC"/>
        <family val="2"/>
      </rPr>
      <t xml:space="preserve">均取自交易日历表</t>
    </r>
  </si>
  <si>
    <t xml:space="preserve">数量口径</t>
  </si>
  <si>
    <r>
      <rPr>
        <sz val="11"/>
        <color rgb="FF000000"/>
        <rFont val="Calibri"/>
        <family val="2"/>
        <charset val="1"/>
      </rPr>
      <t xml:space="preserve">R1</t>
    </r>
    <r>
      <rPr>
        <sz val="11"/>
        <color rgb="FF000000"/>
        <rFont val="Noto Sans CJK SC"/>
        <family val="2"/>
      </rPr>
      <t xml:space="preserve">为累计总卖出量；基准</t>
    </r>
    <r>
      <rPr>
        <sz val="11"/>
        <color rgb="FF000000"/>
        <rFont val="Calibri"/>
        <family val="2"/>
        <charset val="1"/>
      </rPr>
      <t xml:space="preserve">8/14</t>
    </r>
    <r>
      <rPr>
        <sz val="11"/>
        <color rgb="FF000000"/>
        <rFont val="Noto Sans CJK SC"/>
        <family val="2"/>
      </rPr>
      <t xml:space="preserve">持仓；</t>
    </r>
    <r>
      <rPr>
        <sz val="11"/>
        <color rgb="FF000000"/>
        <rFont val="Calibri"/>
        <family val="2"/>
        <charset val="1"/>
      </rPr>
      <t xml:space="preserve">R5</t>
    </r>
    <r>
      <rPr>
        <sz val="11"/>
        <color rgb="FF000000"/>
        <rFont val="Noto Sans CJK SC"/>
        <family val="2"/>
      </rPr>
      <t xml:space="preserve">为本阶段追加量</t>
    </r>
  </si>
  <si>
    <r>
      <rPr>
        <sz val="11"/>
        <color rgb="FF000000"/>
        <rFont val="Noto Sans CJK SC"/>
        <family val="2"/>
      </rPr>
      <t xml:space="preserve">隐含费率≈</t>
    </r>
    <r>
      <rPr>
        <sz val="11"/>
        <color rgb="FF000000"/>
        <rFont val="Calibri"/>
        <family val="2"/>
        <charset val="1"/>
      </rPr>
      <t xml:space="preserve">270.92/303460=0.0893%</t>
    </r>
    <r>
      <rPr>
        <sz val="11"/>
        <color rgb="FF000000"/>
        <rFont val="Noto Sans CJK SC"/>
        <family val="2"/>
      </rPr>
      <t xml:space="preserve">，与题设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佣金</t>
    </r>
    <r>
      <rPr>
        <sz val="11"/>
        <color rgb="FF000000"/>
        <rFont val="Calibri"/>
        <family val="2"/>
        <charset val="1"/>
      </rPr>
      <t xml:space="preserve">0.03%+</t>
    </r>
    <r>
      <rPr>
        <sz val="11"/>
        <color rgb="FF000000"/>
        <rFont val="Noto Sans CJK SC"/>
        <family val="2"/>
      </rPr>
      <t xml:space="preserve">印花</t>
    </r>
    <r>
      <rPr>
        <sz val="11"/>
        <color rgb="FF000000"/>
        <rFont val="Calibri"/>
        <family val="2"/>
        <charset val="1"/>
      </rPr>
      <t xml:space="preserve">0.05%+</t>
    </r>
    <r>
      <rPr>
        <sz val="11"/>
        <color rgb="FF000000"/>
        <rFont val="Noto Sans CJK SC"/>
        <family val="2"/>
      </rPr>
      <t xml:space="preserve">港股</t>
    </r>
    <r>
      <rPr>
        <sz val="11"/>
        <color rgb="FF000000"/>
        <rFont val="Calibri"/>
        <family val="2"/>
        <charset val="1"/>
      </rPr>
      <t xml:space="preserve">0.10%</t>
    </r>
    <r>
      <rPr>
        <sz val="11"/>
        <color rgb="FF000000"/>
        <rFont val="Noto Sans CJK SC"/>
        <family val="2"/>
      </rPr>
      <t xml:space="preserve">加权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CJK SC"/>
        <family val="2"/>
      </rPr>
      <t xml:space="preserve">一致</t>
    </r>
  </si>
  <si>
    <t xml:space="preserve">跨文件一致</t>
  </si>
  <si>
    <r>
      <rPr>
        <sz val="11"/>
        <color rgb="FF000000"/>
        <rFont val="Noto Sans CJK SC"/>
        <family val="2"/>
      </rPr>
      <t xml:space="preserve">科技占比：决策摘要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硬约束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方案对比均</t>
    </r>
    <r>
      <rPr>
        <sz val="11"/>
        <color rgb="FF000000"/>
        <rFont val="Calibri"/>
        <family val="2"/>
        <charset val="1"/>
      </rPr>
      <t xml:space="preserve">=39.34%</t>
    </r>
    <r>
      <rPr>
        <sz val="11"/>
        <color rgb="FF000000"/>
        <rFont val="Noto Sans CJK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P05=18.17%</t>
    </r>
    <r>
      <rPr>
        <sz val="11"/>
        <color rgb="FF000000"/>
        <rFont val="Noto Sans CJK SC"/>
        <family val="2"/>
      </rPr>
      <t xml:space="preserve">；现金</t>
    </r>
    <r>
      <rPr>
        <sz val="11"/>
        <color rgb="FF000000"/>
        <rFont val="Calibri"/>
        <family val="2"/>
        <charset val="1"/>
      </rPr>
      <t xml:space="preserve">=42.47%</t>
    </r>
  </si>
  <si>
    <t xml:space="preserve">非执行声明</t>
  </si>
  <si>
    <t xml:space="preserve">本工作簿仅调仓前分析，不代表已下单，不保证回本或收益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</si>
</sst>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Noto Sans CJK SC"/>
      <family val="2"/>
    </font>
    <font>
      <b val="true"/>
      <sz val="14"/>
      <color rgb="FF1F3864"/>
      <name val="Cambria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name val="Noto Sans CJK SC"/>
      <family val="2"/>
    </font>
    <font>
      <sz val="11"/>
      <color rgb="FF000000"/>
      <name val="Noto Sans CJK SC"/>
      <family val="2"/>
    </font>
    <font>
      <b val="true"/>
      <sz val="11"/>
      <color rgb="FFFFFFFF"/>
      <name val="Cambria"/>
      <family val="0"/>
      <charset val="1"/>
    </font>
    <font>
      <i val="true"/>
      <sz val="11"/>
      <color rgb="FFC00000"/>
      <name val="Noto Sans CJK SC"/>
      <family val="2"/>
    </font>
    <font>
      <i val="true"/>
      <sz val="11"/>
      <color rgb="FFC00000"/>
      <name val="Cambria"/>
      <family val="0"/>
      <charset val="1"/>
    </font>
    <font>
      <b val="true"/>
      <sz val="11"/>
      <color rgb="FF1F3864"/>
      <name val="Noto Sans CJK SC"/>
      <family val="2"/>
    </font>
    <font>
      <i val="true"/>
      <sz val="11"/>
      <name val="Noto Sans CJK SC"/>
      <family val="2"/>
    </font>
    <font>
      <i val="true"/>
      <sz val="11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1F3864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60"/>
    <col collapsed="false" customWidth="true" hidden="false" outlineLevel="0" max="3" min="3" style="0" width="13.01"/>
    <col collapsed="false" customWidth="true" hidden="false" outlineLevel="0" max="4" min="4" style="0" width="22.01"/>
    <col collapsed="false" customWidth="true" hidden="false" outlineLevel="0" max="5" min="5" style="0" width="10.99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43.5" hidden="false" customHeight="true" outlineLevel="0" collapsed="false">
      <c r="A4" s="3" t="s">
        <v>3</v>
      </c>
      <c r="B4" s="4" t="s">
        <v>4</v>
      </c>
    </row>
    <row r="5" customFormat="false" ht="43.5" hidden="false" customHeight="true" outlineLevel="0" collapsed="false">
      <c r="A5" s="3" t="s">
        <v>5</v>
      </c>
      <c r="B5" s="4" t="s">
        <v>6</v>
      </c>
    </row>
    <row r="6" customFormat="false" ht="43.5" hidden="false" customHeight="true" outlineLevel="0" collapsed="false">
      <c r="A6" s="3" t="s">
        <v>7</v>
      </c>
      <c r="B6" s="5" t="s">
        <v>8</v>
      </c>
    </row>
    <row r="7" customFormat="false" ht="43.5" hidden="false" customHeight="true" outlineLevel="0" collapsed="false">
      <c r="A7" s="3" t="s">
        <v>9</v>
      </c>
      <c r="B7" s="5" t="s">
        <v>10</v>
      </c>
    </row>
    <row r="8" customFormat="false" ht="43.5" hidden="false" customHeight="true" outlineLevel="0" collapsed="false">
      <c r="A8" s="3" t="s">
        <v>11</v>
      </c>
      <c r="B8" s="4" t="s">
        <v>12</v>
      </c>
    </row>
    <row r="10" customFormat="false" ht="15" hidden="false" customHeight="false" outlineLevel="0" collapsed="false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</row>
    <row r="11" customFormat="false" ht="15" hidden="false" customHeight="false" outlineLevel="0" collapsed="false">
      <c r="A11" s="6" t="s">
        <v>18</v>
      </c>
      <c r="B11" s="7" t="n">
        <f aca="false">硬约束状态!C5</f>
        <v>0.668138593535142</v>
      </c>
      <c r="C11" s="8" t="s">
        <v>19</v>
      </c>
      <c r="D11" s="7" t="n">
        <f aca="false">硬约束状态!E5</f>
        <v>0.393428640310212</v>
      </c>
      <c r="E11" s="8" t="str">
        <f aca="false">硬约束状态!F5</f>
        <v>超限→达标</v>
      </c>
    </row>
    <row r="12" customFormat="false" ht="15" hidden="false" customHeight="false" outlineLevel="0" collapsed="false">
      <c r="A12" s="6" t="s">
        <v>20</v>
      </c>
      <c r="B12" s="7" t="n">
        <f aca="false">硬约束状态!C6</f>
        <v>0.531830418530785</v>
      </c>
      <c r="C12" s="8" t="s">
        <v>21</v>
      </c>
      <c r="D12" s="7" t="n">
        <f aca="false">硬约束状态!E6</f>
        <v>0.393428640310212</v>
      </c>
      <c r="E12" s="8" t="str">
        <f aca="false">硬约束状态!F6</f>
        <v>超限→达标</v>
      </c>
    </row>
    <row r="13" customFormat="false" ht="15" hidden="false" customHeight="false" outlineLevel="0" collapsed="false">
      <c r="A13" s="6" t="s">
        <v>22</v>
      </c>
      <c r="B13" s="7" t="n">
        <f aca="false">硬约束状态!C4</f>
        <v>0.20335831735518</v>
      </c>
      <c r="C13" s="8" t="s">
        <v>23</v>
      </c>
      <c r="D13" s="7" t="n">
        <f aca="false">硬约束状态!E4</f>
        <v>0.181699902445984</v>
      </c>
      <c r="E13" s="8" t="str">
        <f aca="false">硬约束状态!F4</f>
        <v>超限→达标</v>
      </c>
    </row>
    <row r="14" customFormat="false" ht="15" hidden="false" customHeight="false" outlineLevel="0" collapsed="false">
      <c r="A14" s="6" t="s">
        <v>24</v>
      </c>
      <c r="B14" s="7" t="n">
        <f aca="false">硬约束状态!C7</f>
        <v>0.15716692812736</v>
      </c>
      <c r="C14" s="8" t="s">
        <v>25</v>
      </c>
      <c r="D14" s="7" t="n">
        <f aca="false">硬约束状态!E7</f>
        <v>0.0219261394884398</v>
      </c>
      <c r="E14" s="8" t="str">
        <f aca="false">硬约束状态!F7</f>
        <v>超限→达标</v>
      </c>
    </row>
    <row r="15" customFormat="false" ht="15" hidden="false" customHeight="false" outlineLevel="0" collapsed="false">
      <c r="A15" s="6" t="s">
        <v>26</v>
      </c>
      <c r="B15" s="7" t="n">
        <f aca="false">硬约束状态!C8</f>
        <v>0.116052347709279</v>
      </c>
      <c r="C15" s="8" t="s">
        <v>27</v>
      </c>
      <c r="D15" s="7" t="n">
        <f aca="false">硬约束状态!E8</f>
        <v>0.424708588983908</v>
      </c>
      <c r="E15" s="8" t="str">
        <f aca="false">硬约束状态!F8</f>
        <v>达标</v>
      </c>
    </row>
    <row r="17" customFormat="false" ht="15" hidden="false" customHeight="false" outlineLevel="0" collapsed="false">
      <c r="A17" s="9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.01"/>
    <col collapsed="false" customWidth="true" hidden="false" outlineLevel="0" max="3" min="3" style="0" width="13.01"/>
    <col collapsed="false" customWidth="true" hidden="false" outlineLevel="0" max="4" min="4" style="0" width="19.99"/>
    <col collapsed="false" customWidth="true" hidden="false" outlineLevel="0" max="5" min="5" style="0" width="14.01"/>
  </cols>
  <sheetData>
    <row r="1" customFormat="false" ht="15" hidden="false" customHeight="false" outlineLevel="0" collapsed="false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</row>
    <row r="2" customFormat="false" ht="15" hidden="false" customHeight="false" outlineLevel="0" collapsed="false">
      <c r="A2" s="10" t="s">
        <v>34</v>
      </c>
      <c r="B2" s="10" t="n">
        <v>869820</v>
      </c>
      <c r="C2" s="10" t="s">
        <v>35</v>
      </c>
      <c r="D2" s="11" t="s">
        <v>36</v>
      </c>
      <c r="E2" s="10" t="s">
        <v>37</v>
      </c>
    </row>
    <row r="3" customFormat="false" ht="15" hidden="false" customHeight="false" outlineLevel="0" collapsed="false">
      <c r="A3" s="10" t="s">
        <v>38</v>
      </c>
      <c r="B3" s="11" t="n">
        <v>142500</v>
      </c>
      <c r="C3" s="10" t="s">
        <v>35</v>
      </c>
      <c r="D3" s="11" t="s">
        <v>36</v>
      </c>
      <c r="E3" s="10" t="s">
        <v>39</v>
      </c>
    </row>
    <row r="4" customFormat="false" ht="15" hidden="false" customHeight="false" outlineLevel="0" collapsed="false">
      <c r="A4" s="10" t="s">
        <v>40</v>
      </c>
      <c r="B4" s="11" t="n">
        <v>3000</v>
      </c>
      <c r="C4" s="10" t="s">
        <v>41</v>
      </c>
      <c r="D4" s="11" t="s">
        <v>36</v>
      </c>
      <c r="E4" s="10" t="s">
        <v>39</v>
      </c>
    </row>
    <row r="5" customFormat="false" ht="15" hidden="false" customHeight="false" outlineLevel="0" collapsed="false">
      <c r="A5" s="10" t="s">
        <v>42</v>
      </c>
      <c r="B5" s="11" t="n">
        <v>7.18</v>
      </c>
      <c r="C5" s="10" t="s">
        <v>43</v>
      </c>
      <c r="D5" s="11" t="s">
        <v>44</v>
      </c>
      <c r="E5" s="10" t="s">
        <v>45</v>
      </c>
    </row>
    <row r="6" customFormat="false" ht="15" hidden="false" customHeight="false" outlineLevel="0" collapsed="false">
      <c r="A6" s="10" t="s">
        <v>46</v>
      </c>
      <c r="B6" s="11" t="n">
        <v>1200</v>
      </c>
      <c r="C6" s="10" t="s">
        <v>35</v>
      </c>
      <c r="D6" s="11" t="s">
        <v>36</v>
      </c>
      <c r="E6" s="10" t="s">
        <v>37</v>
      </c>
    </row>
    <row r="7" customFormat="false" ht="15" hidden="false" customHeight="false" outlineLevel="0" collapsed="false">
      <c r="A7" s="10" t="s">
        <v>47</v>
      </c>
      <c r="B7" s="11" t="n">
        <v>1032660</v>
      </c>
      <c r="C7" s="10" t="s">
        <v>35</v>
      </c>
      <c r="D7" s="11" t="s">
        <v>36</v>
      </c>
      <c r="E7" s="10" t="s">
        <v>37</v>
      </c>
    </row>
    <row r="8" customFormat="false" ht="15" hidden="false" customHeight="false" outlineLevel="0" collapsed="false">
      <c r="A8" s="10" t="s">
        <v>48</v>
      </c>
      <c r="B8" s="11" t="n">
        <v>1029000</v>
      </c>
      <c r="C8" s="10" t="s">
        <v>35</v>
      </c>
      <c r="D8" s="11" t="s">
        <v>49</v>
      </c>
      <c r="E8" s="10" t="s">
        <v>50</v>
      </c>
    </row>
    <row r="9" customFormat="false" ht="15" hidden="false" customHeight="false" outlineLevel="0" collapsed="false">
      <c r="A9" s="10" t="s">
        <v>51</v>
      </c>
      <c r="B9" s="11" t="n">
        <v>50000</v>
      </c>
      <c r="C9" s="10" t="s">
        <v>35</v>
      </c>
      <c r="D9" s="11" t="s">
        <v>52</v>
      </c>
      <c r="E9" s="10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0.99"/>
    <col collapsed="false" customWidth="true" hidden="false" outlineLevel="0" max="4" min="4" style="0" width="11.99"/>
    <col collapsed="false" customWidth="true" hidden="false" outlineLevel="0" max="7" min="5" style="0" width="9"/>
    <col collapsed="false" customWidth="true" hidden="false" outlineLevel="0" max="8" min="8" style="0" width="10.99"/>
    <col collapsed="false" customWidth="true" hidden="false" outlineLevel="0" max="10" min="9" style="0" width="10"/>
  </cols>
  <sheetData>
    <row r="1" customFormat="false" ht="15" hidden="false" customHeight="false" outlineLevel="0" collapsed="false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</row>
    <row r="2" customFormat="false" ht="15" hidden="false" customHeight="false" outlineLevel="0" collapsed="false">
      <c r="A2" s="11" t="s">
        <v>64</v>
      </c>
      <c r="B2" s="11" t="s">
        <v>65</v>
      </c>
      <c r="C2" s="10" t="s">
        <v>66</v>
      </c>
      <c r="D2" s="11" t="s">
        <v>67</v>
      </c>
      <c r="E2" s="11" t="n">
        <v>2500</v>
      </c>
      <c r="F2" s="11" t="n">
        <v>43.2</v>
      </c>
      <c r="G2" s="10" t="s">
        <v>68</v>
      </c>
      <c r="H2" s="10" t="s">
        <v>69</v>
      </c>
      <c r="I2" s="11" t="n">
        <v>32.8</v>
      </c>
      <c r="J2" s="10" t="s">
        <v>68</v>
      </c>
    </row>
    <row r="3" customFormat="false" ht="15" hidden="false" customHeight="false" outlineLevel="0" collapsed="false">
      <c r="A3" s="11" t="s">
        <v>64</v>
      </c>
      <c r="B3" s="11" t="s">
        <v>65</v>
      </c>
      <c r="C3" s="10" t="s">
        <v>66</v>
      </c>
      <c r="D3" s="11" t="s">
        <v>70</v>
      </c>
      <c r="E3" s="11" t="n">
        <v>1500</v>
      </c>
      <c r="F3" s="11" t="n">
        <v>37.5</v>
      </c>
      <c r="G3" s="10" t="s">
        <v>68</v>
      </c>
      <c r="H3" s="10" t="s">
        <v>69</v>
      </c>
      <c r="I3" s="11" t="n">
        <v>32.8</v>
      </c>
      <c r="J3" s="10" t="s">
        <v>68</v>
      </c>
    </row>
    <row r="4" customFormat="false" ht="15" hidden="false" customHeight="false" outlineLevel="0" collapsed="false">
      <c r="A4" s="11" t="s">
        <v>64</v>
      </c>
      <c r="B4" s="11" t="s">
        <v>65</v>
      </c>
      <c r="C4" s="10" t="s">
        <v>66</v>
      </c>
      <c r="D4" s="11" t="s">
        <v>71</v>
      </c>
      <c r="E4" s="11" t="n">
        <v>1000</v>
      </c>
      <c r="F4" s="11" t="n">
        <v>31.9</v>
      </c>
      <c r="G4" s="10" t="s">
        <v>68</v>
      </c>
      <c r="H4" s="10" t="s">
        <v>72</v>
      </c>
      <c r="I4" s="11" t="n">
        <v>32.8</v>
      </c>
      <c r="J4" s="10" t="s">
        <v>68</v>
      </c>
    </row>
    <row r="5" customFormat="false" ht="15" hidden="false" customHeight="false" outlineLevel="0" collapsed="false">
      <c r="A5" s="11" t="s">
        <v>73</v>
      </c>
      <c r="B5" s="11" t="s">
        <v>65</v>
      </c>
      <c r="C5" s="10" t="s">
        <v>74</v>
      </c>
      <c r="D5" s="11" t="s">
        <v>75</v>
      </c>
      <c r="E5" s="11" t="n">
        <v>3000</v>
      </c>
      <c r="F5" s="11" t="n">
        <v>54.2</v>
      </c>
      <c r="G5" s="10" t="s">
        <v>68</v>
      </c>
      <c r="H5" s="10" t="s">
        <v>69</v>
      </c>
      <c r="I5" s="11" t="n">
        <v>58.4</v>
      </c>
      <c r="J5" s="10" t="s">
        <v>68</v>
      </c>
    </row>
    <row r="6" customFormat="false" ht="15" hidden="false" customHeight="false" outlineLevel="0" collapsed="false">
      <c r="A6" s="11" t="s">
        <v>76</v>
      </c>
      <c r="B6" s="11" t="s">
        <v>65</v>
      </c>
      <c r="C6" s="10" t="s">
        <v>77</v>
      </c>
      <c r="D6" s="11" t="s">
        <v>78</v>
      </c>
      <c r="E6" s="11" t="n">
        <v>8000</v>
      </c>
      <c r="F6" s="11" t="n">
        <v>10.3</v>
      </c>
      <c r="G6" s="10" t="s">
        <v>68</v>
      </c>
      <c r="H6" s="10" t="s">
        <v>69</v>
      </c>
      <c r="I6" s="11" t="n">
        <v>9.62</v>
      </c>
      <c r="J6" s="10" t="s">
        <v>68</v>
      </c>
    </row>
    <row r="7" customFormat="false" ht="15" hidden="false" customHeight="false" outlineLevel="0" collapsed="false">
      <c r="A7" s="11" t="s">
        <v>79</v>
      </c>
      <c r="B7" s="11" t="s">
        <v>65</v>
      </c>
      <c r="C7" s="10" t="s">
        <v>80</v>
      </c>
      <c r="D7" s="11" t="s">
        <v>81</v>
      </c>
      <c r="E7" s="11" t="n">
        <v>6000</v>
      </c>
      <c r="F7" s="11" t="n">
        <v>11.9</v>
      </c>
      <c r="G7" s="10" t="s">
        <v>68</v>
      </c>
      <c r="H7" s="10" t="s">
        <v>69</v>
      </c>
      <c r="I7" s="11" t="n">
        <v>12.35</v>
      </c>
      <c r="J7" s="10" t="s">
        <v>68</v>
      </c>
    </row>
    <row r="8" customFormat="false" ht="15" hidden="false" customHeight="false" outlineLevel="0" collapsed="false">
      <c r="A8" s="11" t="s">
        <v>82</v>
      </c>
      <c r="B8" s="11" t="s">
        <v>65</v>
      </c>
      <c r="C8" s="10" t="s">
        <v>74</v>
      </c>
      <c r="D8" s="11" t="s">
        <v>83</v>
      </c>
      <c r="E8" s="11" t="n">
        <v>2000</v>
      </c>
      <c r="F8" s="11" t="n">
        <v>82.4</v>
      </c>
      <c r="G8" s="10" t="s">
        <v>68</v>
      </c>
      <c r="H8" s="10" t="s">
        <v>69</v>
      </c>
      <c r="I8" s="11" t="n">
        <v>105</v>
      </c>
      <c r="J8" s="10" t="s">
        <v>68</v>
      </c>
    </row>
    <row r="9" customFormat="false" ht="15" hidden="false" customHeight="false" outlineLevel="0" collapsed="false">
      <c r="A9" s="11" t="s">
        <v>84</v>
      </c>
      <c r="B9" s="10" t="s">
        <v>85</v>
      </c>
      <c r="C9" s="10" t="s">
        <v>86</v>
      </c>
      <c r="D9" s="11" t="s">
        <v>87</v>
      </c>
      <c r="E9" s="11" t="n">
        <v>10000</v>
      </c>
      <c r="F9" s="11" t="n">
        <v>3.1</v>
      </c>
      <c r="G9" s="10" t="s">
        <v>68</v>
      </c>
      <c r="H9" s="10" t="s">
        <v>69</v>
      </c>
      <c r="I9" s="11" t="n">
        <v>2.88</v>
      </c>
      <c r="J9" s="10" t="s">
        <v>68</v>
      </c>
    </row>
    <row r="10" customFormat="false" ht="15" hidden="false" customHeight="false" outlineLevel="0" collapsed="false">
      <c r="A10" s="11" t="s">
        <v>88</v>
      </c>
      <c r="B10" s="10" t="s">
        <v>89</v>
      </c>
      <c r="C10" s="10" t="s">
        <v>90</v>
      </c>
      <c r="D10" s="11" t="s">
        <v>91</v>
      </c>
      <c r="E10" s="11" t="n">
        <v>10000</v>
      </c>
      <c r="F10" s="11" t="n">
        <v>16.4</v>
      </c>
      <c r="G10" s="10" t="s">
        <v>92</v>
      </c>
      <c r="H10" s="10" t="s">
        <v>69</v>
      </c>
      <c r="I10" s="11" t="n">
        <v>15.3</v>
      </c>
      <c r="J10" s="10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0.99"/>
    <col collapsed="false" customWidth="true" hidden="false" outlineLevel="0" max="9" min="9" style="0" width="10"/>
    <col collapsed="false" customWidth="true" hidden="false" outlineLevel="0" max="10" min="10" style="0" width="10.99"/>
    <col collapsed="false" customWidth="true" hidden="false" outlineLevel="0" max="11" min="11" style="0" width="15"/>
    <col collapsed="false" customWidth="true" hidden="false" outlineLevel="0" max="12" min="12" style="0" width="42"/>
  </cols>
  <sheetData>
    <row r="1" customFormat="false" ht="15" hidden="false" customHeight="false" outlineLevel="0" collapsed="false">
      <c r="A1" s="2" t="s">
        <v>54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12" t="s">
        <v>102</v>
      </c>
      <c r="L1" s="2" t="s">
        <v>103</v>
      </c>
    </row>
    <row r="2" customFormat="false" ht="15" hidden="false" customHeight="false" outlineLevel="0" collapsed="false">
      <c r="A2" s="11" t="s">
        <v>64</v>
      </c>
      <c r="B2" s="10" t="s">
        <v>104</v>
      </c>
      <c r="C2" s="11" t="n">
        <v>32.8</v>
      </c>
      <c r="D2" s="10" t="s">
        <v>68</v>
      </c>
      <c r="E2" s="11" t="s">
        <v>44</v>
      </c>
      <c r="F2" s="10" t="s">
        <v>105</v>
      </c>
      <c r="G2" s="10" t="s">
        <v>106</v>
      </c>
      <c r="H2" s="11" t="n">
        <v>1000</v>
      </c>
      <c r="I2" s="11" t="n">
        <v>4000</v>
      </c>
      <c r="J2" s="11" t="n">
        <v>100</v>
      </c>
      <c r="K2" s="11" t="n">
        <v>8600</v>
      </c>
      <c r="L2" s="10" t="s">
        <v>107</v>
      </c>
    </row>
    <row r="3" customFormat="false" ht="15" hidden="false" customHeight="false" outlineLevel="0" collapsed="false">
      <c r="A3" s="11" t="s">
        <v>73</v>
      </c>
      <c r="B3" s="10" t="s">
        <v>104</v>
      </c>
      <c r="C3" s="11" t="n">
        <v>58.4</v>
      </c>
      <c r="D3" s="10" t="s">
        <v>68</v>
      </c>
      <c r="E3" s="11" t="s">
        <v>44</v>
      </c>
      <c r="F3" s="10" t="s">
        <v>105</v>
      </c>
      <c r="G3" s="10" t="s">
        <v>108</v>
      </c>
      <c r="H3" s="11" t="n">
        <v>0</v>
      </c>
      <c r="I3" s="11" t="n">
        <v>3000</v>
      </c>
      <c r="J3" s="11" t="n">
        <v>100</v>
      </c>
      <c r="K3" s="11" t="n">
        <v>2100</v>
      </c>
      <c r="L3" s="10" t="s">
        <v>109</v>
      </c>
    </row>
    <row r="4" customFormat="false" ht="15" hidden="false" customHeight="false" outlineLevel="0" collapsed="false">
      <c r="A4" s="11" t="s">
        <v>76</v>
      </c>
      <c r="B4" s="10" t="s">
        <v>104</v>
      </c>
      <c r="C4" s="11" t="n">
        <v>9.62</v>
      </c>
      <c r="D4" s="10" t="s">
        <v>68</v>
      </c>
      <c r="E4" s="11" t="s">
        <v>44</v>
      </c>
      <c r="F4" s="10" t="s">
        <v>105</v>
      </c>
      <c r="G4" s="10" t="s">
        <v>106</v>
      </c>
      <c r="H4" s="11" t="n">
        <v>0</v>
      </c>
      <c r="I4" s="11" t="n">
        <v>8000</v>
      </c>
      <c r="J4" s="11" t="n">
        <v>100</v>
      </c>
      <c r="K4" s="11" t="n">
        <v>4700</v>
      </c>
      <c r="L4" s="11"/>
    </row>
    <row r="5" customFormat="false" ht="15" hidden="false" customHeight="false" outlineLevel="0" collapsed="false">
      <c r="A5" s="11" t="s">
        <v>79</v>
      </c>
      <c r="B5" s="10" t="s">
        <v>104</v>
      </c>
      <c r="C5" s="11" t="n">
        <v>12.35</v>
      </c>
      <c r="D5" s="10" t="s">
        <v>68</v>
      </c>
      <c r="E5" s="11" t="s">
        <v>110</v>
      </c>
      <c r="F5" s="10" t="s">
        <v>111</v>
      </c>
      <c r="G5" s="10" t="s">
        <v>112</v>
      </c>
      <c r="H5" s="11" t="n">
        <v>0</v>
      </c>
      <c r="I5" s="11" t="n">
        <v>0</v>
      </c>
      <c r="J5" s="11" t="n">
        <v>100</v>
      </c>
      <c r="K5" s="11" t="n">
        <v>900</v>
      </c>
      <c r="L5" s="11" t="s">
        <v>113</v>
      </c>
    </row>
    <row r="6" customFormat="false" ht="15" hidden="false" customHeight="false" outlineLevel="0" collapsed="false">
      <c r="A6" s="11" t="s">
        <v>82</v>
      </c>
      <c r="B6" s="10" t="s">
        <v>104</v>
      </c>
      <c r="C6" s="11" t="n">
        <v>105</v>
      </c>
      <c r="D6" s="10" t="s">
        <v>68</v>
      </c>
      <c r="E6" s="11" t="s">
        <v>44</v>
      </c>
      <c r="F6" s="10" t="s">
        <v>105</v>
      </c>
      <c r="G6" s="10" t="s">
        <v>106</v>
      </c>
      <c r="H6" s="11" t="n">
        <v>0</v>
      </c>
      <c r="I6" s="11" t="n">
        <v>2000</v>
      </c>
      <c r="J6" s="11" t="n">
        <v>100</v>
      </c>
      <c r="K6" s="11" t="n">
        <v>12800</v>
      </c>
      <c r="L6" s="11"/>
    </row>
    <row r="7" customFormat="false" ht="15" hidden="false" customHeight="false" outlineLevel="0" collapsed="false">
      <c r="A7" s="11" t="s">
        <v>84</v>
      </c>
      <c r="B7" s="10" t="s">
        <v>104</v>
      </c>
      <c r="C7" s="11" t="n">
        <v>2.88</v>
      </c>
      <c r="D7" s="10" t="s">
        <v>68</v>
      </c>
      <c r="E7" s="11" t="s">
        <v>44</v>
      </c>
      <c r="F7" s="10" t="s">
        <v>105</v>
      </c>
      <c r="G7" s="10" t="s">
        <v>106</v>
      </c>
      <c r="H7" s="11" t="n">
        <v>0</v>
      </c>
      <c r="I7" s="11" t="n">
        <v>10000</v>
      </c>
      <c r="J7" s="11" t="n">
        <v>100</v>
      </c>
      <c r="K7" s="11" t="n">
        <v>56000</v>
      </c>
      <c r="L7" s="11" t="s">
        <v>114</v>
      </c>
    </row>
    <row r="8" customFormat="false" ht="15" hidden="false" customHeight="false" outlineLevel="0" collapsed="false">
      <c r="A8" s="11" t="s">
        <v>88</v>
      </c>
      <c r="B8" s="10" t="s">
        <v>115</v>
      </c>
      <c r="C8" s="11" t="n">
        <v>15.3</v>
      </c>
      <c r="D8" s="10" t="s">
        <v>92</v>
      </c>
      <c r="E8" s="11" t="s">
        <v>116</v>
      </c>
      <c r="F8" s="10" t="s">
        <v>105</v>
      </c>
      <c r="G8" s="10" t="s">
        <v>106</v>
      </c>
      <c r="H8" s="11" t="n">
        <v>0</v>
      </c>
      <c r="I8" s="11" t="n">
        <v>10000</v>
      </c>
      <c r="J8" s="11" t="n">
        <v>500</v>
      </c>
      <c r="K8" s="11" t="n">
        <v>12500</v>
      </c>
      <c r="L8" s="10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0"/>
    <col collapsed="false" customWidth="true" hidden="false" outlineLevel="0" max="4" min="4" style="0" width="13.01"/>
    <col collapsed="false" customWidth="true" hidden="false" outlineLevel="0" max="5" min="5" style="0" width="10.99"/>
    <col collapsed="false" customWidth="true" hidden="false" outlineLevel="0" max="6" min="6" style="0" width="13.01"/>
    <col collapsed="false" customWidth="true" hidden="false" outlineLevel="0" max="7" min="7" style="0" width="11.99"/>
  </cols>
  <sheetData>
    <row r="1" customFormat="false" ht="15" hidden="false" customHeight="false" outlineLevel="0" collapsed="false">
      <c r="A1" s="2" t="s">
        <v>54</v>
      </c>
      <c r="B1" s="2" t="s">
        <v>118</v>
      </c>
      <c r="C1" s="2" t="s">
        <v>119</v>
      </c>
      <c r="D1" s="2" t="s">
        <v>120</v>
      </c>
      <c r="E1" s="2" t="s">
        <v>121</v>
      </c>
      <c r="F1" s="2" t="s">
        <v>122</v>
      </c>
      <c r="G1" s="2" t="s">
        <v>123</v>
      </c>
    </row>
    <row r="2" customFormat="false" ht="15" hidden="false" customHeight="false" outlineLevel="0" collapsed="false">
      <c r="A2" s="11" t="s">
        <v>64</v>
      </c>
      <c r="B2" s="10" t="s">
        <v>124</v>
      </c>
      <c r="C2" s="10" t="s">
        <v>125</v>
      </c>
      <c r="D2" s="11" t="n">
        <v>0.38</v>
      </c>
      <c r="E2" s="10" t="s">
        <v>126</v>
      </c>
      <c r="F2" s="11" t="n">
        <v>0.72</v>
      </c>
      <c r="G2" s="10" t="s">
        <v>69</v>
      </c>
    </row>
    <row r="3" customFormat="false" ht="15" hidden="false" customHeight="false" outlineLevel="0" collapsed="false">
      <c r="A3" s="11" t="s">
        <v>73</v>
      </c>
      <c r="B3" s="10" t="s">
        <v>124</v>
      </c>
      <c r="C3" s="10" t="s">
        <v>125</v>
      </c>
      <c r="D3" s="11" t="n">
        <v>0.44</v>
      </c>
      <c r="E3" s="10" t="s">
        <v>126</v>
      </c>
      <c r="F3" s="11" t="n">
        <v>0.81</v>
      </c>
      <c r="G3" s="10" t="s">
        <v>69</v>
      </c>
    </row>
    <row r="4" customFormat="false" ht="15" hidden="false" customHeight="false" outlineLevel="0" collapsed="false">
      <c r="A4" s="11" t="s">
        <v>76</v>
      </c>
      <c r="B4" s="10" t="s">
        <v>127</v>
      </c>
      <c r="C4" s="10" t="s">
        <v>77</v>
      </c>
      <c r="D4" s="11" t="n">
        <v>0.25</v>
      </c>
      <c r="E4" s="10" t="s">
        <v>128</v>
      </c>
      <c r="F4" s="11" t="n">
        <v>0.18</v>
      </c>
      <c r="G4" s="10" t="s">
        <v>69</v>
      </c>
    </row>
    <row r="5" customFormat="false" ht="15" hidden="false" customHeight="false" outlineLevel="0" collapsed="false">
      <c r="A5" s="11" t="s">
        <v>79</v>
      </c>
      <c r="B5" s="10" t="s">
        <v>129</v>
      </c>
      <c r="C5" s="10" t="s">
        <v>80</v>
      </c>
      <c r="D5" s="11" t="n">
        <v>0.29</v>
      </c>
      <c r="E5" s="10" t="s">
        <v>128</v>
      </c>
      <c r="F5" s="11" t="n">
        <v>0.22</v>
      </c>
      <c r="G5" s="10" t="s">
        <v>69</v>
      </c>
    </row>
    <row r="6" customFormat="false" ht="15" hidden="false" customHeight="false" outlineLevel="0" collapsed="false">
      <c r="A6" s="11" t="s">
        <v>82</v>
      </c>
      <c r="B6" s="10" t="s">
        <v>124</v>
      </c>
      <c r="C6" s="10" t="s">
        <v>125</v>
      </c>
      <c r="D6" s="11" t="n">
        <v>0.46</v>
      </c>
      <c r="E6" s="10" t="s">
        <v>126</v>
      </c>
      <c r="F6" s="11" t="n">
        <v>1</v>
      </c>
      <c r="G6" s="10" t="s">
        <v>69</v>
      </c>
    </row>
    <row r="7" customFormat="false" ht="15" hidden="false" customHeight="false" outlineLevel="0" collapsed="false">
      <c r="A7" s="11" t="s">
        <v>84</v>
      </c>
      <c r="B7" s="10" t="s">
        <v>127</v>
      </c>
      <c r="C7" s="10" t="s">
        <v>86</v>
      </c>
      <c r="D7" s="11" t="n">
        <v>0.17</v>
      </c>
      <c r="E7" s="10" t="s">
        <v>130</v>
      </c>
      <c r="F7" s="11" t="n">
        <v>-0.05</v>
      </c>
      <c r="G7" s="10" t="s">
        <v>69</v>
      </c>
    </row>
    <row r="8" customFormat="false" ht="15" hidden="false" customHeight="false" outlineLevel="0" collapsed="false">
      <c r="A8" s="11" t="s">
        <v>88</v>
      </c>
      <c r="B8" s="10" t="s">
        <v>124</v>
      </c>
      <c r="C8" s="10" t="s">
        <v>125</v>
      </c>
      <c r="D8" s="11" t="n">
        <v>0.31</v>
      </c>
      <c r="E8" s="10" t="s">
        <v>131</v>
      </c>
      <c r="F8" s="11" t="n">
        <v>0.64</v>
      </c>
      <c r="G8" s="10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16"/>
    <col collapsed="false" customWidth="true" hidden="false" outlineLevel="0" max="4" min="3" style="0" width="11.99"/>
    <col collapsed="false" customWidth="true" hidden="false" outlineLevel="0" max="5" min="5" style="0" width="14.01"/>
    <col collapsed="false" customWidth="true" hidden="false" outlineLevel="0" max="6" min="6" style="0" width="16"/>
    <col collapsed="false" customWidth="true" hidden="false" outlineLevel="0" max="7" min="7" style="0" width="30.01"/>
    <col collapsed="false" customWidth="true" hidden="false" outlineLevel="0" max="8" min="8" style="0" width="14.01"/>
    <col collapsed="false" customWidth="true" hidden="false" outlineLevel="0" max="9" min="9" style="0" width="34"/>
  </cols>
  <sheetData>
    <row r="1" customFormat="false" ht="15" hidden="false" customHeight="false" outlineLevel="0" collapsed="false">
      <c r="A1" s="1" t="s">
        <v>132</v>
      </c>
    </row>
    <row r="3" customFormat="false" ht="15" hidden="false" customHeight="false" outlineLevel="0" collapsed="false">
      <c r="A3" s="13" t="s">
        <v>133</v>
      </c>
    </row>
    <row r="4" customFormat="false" ht="15" hidden="false" customHeight="false" outlineLevel="0" collapsed="false">
      <c r="A4" s="2" t="s">
        <v>134</v>
      </c>
      <c r="B4" s="2" t="s">
        <v>135</v>
      </c>
      <c r="C4" s="2" t="s">
        <v>136</v>
      </c>
    </row>
    <row r="5" customFormat="false" ht="15" hidden="false" customHeight="false" outlineLevel="0" collapsed="false">
      <c r="A5" s="10" t="s">
        <v>34</v>
      </c>
      <c r="B5" s="10" t="s">
        <v>37</v>
      </c>
      <c r="C5" s="11" t="n">
        <f aca="false">输入_账户!B2</f>
        <v>869820</v>
      </c>
    </row>
    <row r="6" customFormat="false" ht="15" hidden="false" customHeight="false" outlineLevel="0" collapsed="false">
      <c r="A6" s="10" t="s">
        <v>38</v>
      </c>
      <c r="B6" s="10" t="s">
        <v>39</v>
      </c>
      <c r="C6" s="11" t="n">
        <f aca="false">输入_账户!B3</f>
        <v>142500</v>
      </c>
    </row>
    <row r="7" customFormat="false" ht="15" hidden="false" customHeight="false" outlineLevel="0" collapsed="false">
      <c r="A7" s="10" t="s">
        <v>137</v>
      </c>
      <c r="B7" s="11" t="s">
        <v>138</v>
      </c>
      <c r="C7" s="11" t="n">
        <f aca="false">输入_账户!B4*输入_账户!B5</f>
        <v>21540</v>
      </c>
    </row>
    <row r="8" customFormat="false" ht="15" hidden="false" customHeight="false" outlineLevel="0" collapsed="false">
      <c r="A8" s="10" t="s">
        <v>139</v>
      </c>
      <c r="B8" s="10" t="s">
        <v>37</v>
      </c>
      <c r="C8" s="11" t="n">
        <f aca="false">-输入_账户!B6</f>
        <v>-1200</v>
      </c>
    </row>
    <row r="9" customFormat="false" ht="15" hidden="false" customHeight="false" outlineLevel="0" collapsed="false">
      <c r="A9" s="10" t="s">
        <v>140</v>
      </c>
      <c r="B9" s="10" t="s">
        <v>141</v>
      </c>
      <c r="C9" s="11" t="n">
        <f aca="false">C5+C6+C7+C8</f>
        <v>1032660</v>
      </c>
    </row>
    <row r="10" customFormat="false" ht="15" hidden="false" customHeight="false" outlineLevel="0" collapsed="false">
      <c r="A10" s="10" t="s">
        <v>142</v>
      </c>
      <c r="B10" s="10" t="s">
        <v>37</v>
      </c>
      <c r="C10" s="11" t="n">
        <f aca="false">输入_账户!B7</f>
        <v>1032660</v>
      </c>
    </row>
    <row r="11" customFormat="false" ht="15" hidden="false" customHeight="false" outlineLevel="0" collapsed="false">
      <c r="A11" s="10" t="s">
        <v>143</v>
      </c>
      <c r="B11" s="10" t="s">
        <v>144</v>
      </c>
      <c r="C11" s="11" t="n">
        <f aca="false">C9-C10</f>
        <v>0</v>
      </c>
    </row>
    <row r="12" customFormat="false" ht="15" hidden="false" customHeight="false" outlineLevel="0" collapsed="false">
      <c r="A12" s="10" t="s">
        <v>145</v>
      </c>
      <c r="B12" s="10" t="s">
        <v>50</v>
      </c>
      <c r="C12" s="11" t="n">
        <f aca="false">输入_账户!B8</f>
        <v>1029000</v>
      </c>
    </row>
    <row r="13" customFormat="false" ht="15" hidden="false" customHeight="false" outlineLevel="0" collapsed="false">
      <c r="A13" s="10" t="s">
        <v>146</v>
      </c>
      <c r="B13" s="10" t="s">
        <v>147</v>
      </c>
      <c r="C13" s="11" t="n">
        <f aca="false">C9-C12</f>
        <v>3660</v>
      </c>
    </row>
    <row r="14" customFormat="false" ht="15" hidden="false" customHeight="false" outlineLevel="0" collapsed="false">
      <c r="A14" s="9" t="s">
        <v>148</v>
      </c>
    </row>
    <row r="16" customFormat="false" ht="15" hidden="false" customHeight="false" outlineLevel="0" collapsed="false">
      <c r="A16" s="13" t="s">
        <v>149</v>
      </c>
    </row>
    <row r="17" customFormat="false" ht="15" hidden="false" customHeight="false" outlineLevel="0" collapsed="false">
      <c r="A17" s="2" t="s">
        <v>54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2" t="s">
        <v>155</v>
      </c>
      <c r="H17" s="2" t="s">
        <v>156</v>
      </c>
      <c r="I17" s="2" t="s">
        <v>157</v>
      </c>
    </row>
    <row r="18" customFormat="false" ht="15" hidden="false" customHeight="false" outlineLevel="0" collapsed="false">
      <c r="A18" s="11" t="s">
        <v>64</v>
      </c>
      <c r="B18" s="10" t="s">
        <v>66</v>
      </c>
      <c r="C18" s="11" t="n">
        <f aca="false">输入_持仓批次!E2+输入_持仓批次!E3+输入_持仓批次!E4</f>
        <v>5000</v>
      </c>
      <c r="D18" s="11" t="n">
        <f aca="false">输入_行情状态!C2</f>
        <v>32.8</v>
      </c>
      <c r="E18" s="11" t="n">
        <f aca="false">输入_行情状态!C2</f>
        <v>32.8</v>
      </c>
      <c r="F18" s="11" t="n">
        <f aca="false">C18*E18</f>
        <v>164000</v>
      </c>
      <c r="G18" s="11" t="n">
        <f aca="false">输入_持仓批次!E2*输入_持仓批次!F2+输入_持仓批次!E3*输入_持仓批次!F3+输入_持仓批次!E4*输入_持仓批次!F4</f>
        <v>196150</v>
      </c>
      <c r="H18" s="11" t="n">
        <f aca="false">F18-G18</f>
        <v>-32150</v>
      </c>
      <c r="I18" s="10" t="s">
        <v>158</v>
      </c>
    </row>
    <row r="19" customFormat="false" ht="15" hidden="false" customHeight="false" outlineLevel="0" collapsed="false">
      <c r="A19" s="11" t="s">
        <v>73</v>
      </c>
      <c r="B19" s="10" t="s">
        <v>74</v>
      </c>
      <c r="C19" s="11" t="n">
        <f aca="false">输入_持仓批次!E5</f>
        <v>3000</v>
      </c>
      <c r="D19" s="11" t="n">
        <f aca="false">输入_行情状态!C3</f>
        <v>58.4</v>
      </c>
      <c r="E19" s="11" t="n">
        <f aca="false">输入_行情状态!C3</f>
        <v>58.4</v>
      </c>
      <c r="F19" s="11" t="n">
        <f aca="false">C19*E19</f>
        <v>175200</v>
      </c>
      <c r="G19" s="11" t="n">
        <f aca="false">输入_持仓批次!E5*输入_持仓批次!F5</f>
        <v>162600</v>
      </c>
      <c r="H19" s="11" t="n">
        <f aca="false">F19-G19</f>
        <v>12600</v>
      </c>
      <c r="I19" s="10" t="s">
        <v>159</v>
      </c>
    </row>
    <row r="20" customFormat="false" ht="15" hidden="false" customHeight="false" outlineLevel="0" collapsed="false">
      <c r="A20" s="11" t="s">
        <v>76</v>
      </c>
      <c r="B20" s="10" t="s">
        <v>77</v>
      </c>
      <c r="C20" s="11" t="n">
        <f aca="false">输入_持仓批次!E6</f>
        <v>8000</v>
      </c>
      <c r="D20" s="11" t="n">
        <f aca="false">输入_行情状态!C4</f>
        <v>9.62</v>
      </c>
      <c r="E20" s="11" t="n">
        <f aca="false">输入_行情状态!C4</f>
        <v>9.62</v>
      </c>
      <c r="F20" s="11" t="n">
        <f aca="false">C20*E20</f>
        <v>76960</v>
      </c>
      <c r="G20" s="11" t="n">
        <f aca="false">输入_持仓批次!E6*输入_持仓批次!F6</f>
        <v>82400</v>
      </c>
      <c r="H20" s="11" t="n">
        <f aca="false">F20-G20</f>
        <v>-5440</v>
      </c>
      <c r="I20" s="10" t="s">
        <v>105</v>
      </c>
    </row>
    <row r="21" customFormat="false" ht="15" hidden="false" customHeight="false" outlineLevel="0" collapsed="false">
      <c r="A21" s="11" t="s">
        <v>79</v>
      </c>
      <c r="B21" s="10" t="s">
        <v>80</v>
      </c>
      <c r="C21" s="11" t="n">
        <f aca="false">输入_持仓批次!E7</f>
        <v>6000</v>
      </c>
      <c r="D21" s="11" t="n">
        <f aca="false">输入_行情状态!C5</f>
        <v>12.35</v>
      </c>
      <c r="E21" s="11" t="n">
        <f aca="false">输入_行情状态!C5</f>
        <v>12.35</v>
      </c>
      <c r="F21" s="11" t="n">
        <f aca="false">C21*E21</f>
        <v>74100</v>
      </c>
      <c r="G21" s="11" t="n">
        <f aca="false">输入_持仓批次!E7*输入_持仓批次!F7</f>
        <v>71400</v>
      </c>
      <c r="H21" s="11" t="n">
        <f aca="false">F21-G21</f>
        <v>2700</v>
      </c>
      <c r="I21" s="11" t="s">
        <v>160</v>
      </c>
    </row>
    <row r="22" customFormat="false" ht="15" hidden="false" customHeight="false" outlineLevel="0" collapsed="false">
      <c r="A22" s="11" t="s">
        <v>82</v>
      </c>
      <c r="B22" s="10" t="s">
        <v>74</v>
      </c>
      <c r="C22" s="11" t="n">
        <f aca="false">输入_持仓批次!E8</f>
        <v>2000</v>
      </c>
      <c r="D22" s="11" t="n">
        <f aca="false">输入_行情状态!C6</f>
        <v>105</v>
      </c>
      <c r="E22" s="11" t="n">
        <f aca="false">输入_行情状态!C6</f>
        <v>105</v>
      </c>
      <c r="F22" s="11" t="n">
        <f aca="false">C22*E22</f>
        <v>210000</v>
      </c>
      <c r="G22" s="11" t="n">
        <f aca="false">输入_持仓批次!E8*输入_持仓批次!F8</f>
        <v>164800</v>
      </c>
      <c r="H22" s="11" t="n">
        <f aca="false">F22-G22</f>
        <v>45200</v>
      </c>
      <c r="I22" s="10" t="s">
        <v>105</v>
      </c>
    </row>
    <row r="23" customFormat="false" ht="15" hidden="false" customHeight="false" outlineLevel="0" collapsed="false">
      <c r="A23" s="11" t="s">
        <v>84</v>
      </c>
      <c r="B23" s="10" t="s">
        <v>86</v>
      </c>
      <c r="C23" s="11" t="n">
        <f aca="false">输入_持仓批次!E9</f>
        <v>10000</v>
      </c>
      <c r="D23" s="11" t="n">
        <f aca="false">输入_行情状态!C7</f>
        <v>2.88</v>
      </c>
      <c r="E23" s="11" t="n">
        <f aca="false">输入_行情状态!C7</f>
        <v>2.88</v>
      </c>
      <c r="F23" s="11" t="n">
        <f aca="false">C23*E23</f>
        <v>28800</v>
      </c>
      <c r="G23" s="11" t="n">
        <f aca="false">输入_持仓批次!E9*(输入_持仓批次!F9-0.8)</f>
        <v>23000</v>
      </c>
      <c r="H23" s="11" t="n">
        <f aca="false">F23-G23</f>
        <v>5800</v>
      </c>
      <c r="I23" s="10" t="s">
        <v>161</v>
      </c>
    </row>
    <row r="24" customFormat="false" ht="15" hidden="false" customHeight="false" outlineLevel="0" collapsed="false">
      <c r="A24" s="11" t="s">
        <v>88</v>
      </c>
      <c r="B24" s="10" t="s">
        <v>90</v>
      </c>
      <c r="C24" s="11" t="n">
        <f aca="false">输入_持仓批次!E10</f>
        <v>10000</v>
      </c>
      <c r="D24" s="11" t="n">
        <f aca="false">输入_行情状态!C8</f>
        <v>15.3</v>
      </c>
      <c r="E24" s="11" t="n">
        <f aca="false">输入_行情状态!C8*0.92</f>
        <v>14.076</v>
      </c>
      <c r="F24" s="11" t="n">
        <f aca="false">C24*E24</f>
        <v>140760</v>
      </c>
      <c r="G24" s="11" t="n">
        <f aca="false">输入_持仓批次!E10*输入_持仓批次!F10*0.92</f>
        <v>150880</v>
      </c>
      <c r="H24" s="11" t="n">
        <f aca="false">F24-G24</f>
        <v>-10120</v>
      </c>
      <c r="I24" s="10" t="s">
        <v>162</v>
      </c>
    </row>
    <row r="25" customFormat="false" ht="15" hidden="false" customHeight="false" outlineLevel="0" collapsed="false">
      <c r="A25" s="3" t="s">
        <v>163</v>
      </c>
      <c r="B25" s="11"/>
      <c r="C25" s="11"/>
      <c r="D25" s="11"/>
      <c r="E25" s="11"/>
      <c r="F25" s="11" t="n">
        <f aca="false">SUM(F18:F24)</f>
        <v>869820</v>
      </c>
      <c r="G25" s="11" t="n">
        <f aca="false">SUM(G18:G24)</f>
        <v>851230</v>
      </c>
      <c r="H25" s="11" t="n">
        <f aca="false">SUM(H18:H24)</f>
        <v>18590</v>
      </c>
      <c r="I25" s="11"/>
    </row>
    <row r="26" customFormat="false" ht="15" hidden="false" customHeight="false" outlineLevel="0" collapsed="false">
      <c r="A26" s="14" t="s">
        <v>164</v>
      </c>
    </row>
    <row r="28" customFormat="false" ht="15" hidden="false" customHeight="false" outlineLevel="0" collapsed="false">
      <c r="A28" s="13" t="s">
        <v>165</v>
      </c>
    </row>
    <row r="29" customFormat="false" ht="15" hidden="false" customHeight="false" outlineLevel="0" collapsed="false">
      <c r="A29" s="2" t="s">
        <v>166</v>
      </c>
      <c r="B29" s="2" t="s">
        <v>57</v>
      </c>
      <c r="C29" s="2" t="s">
        <v>58</v>
      </c>
      <c r="D29" s="2" t="s">
        <v>59</v>
      </c>
      <c r="E29" s="2" t="s">
        <v>167</v>
      </c>
      <c r="F29" s="2" t="s">
        <v>168</v>
      </c>
      <c r="G29" s="2" t="s">
        <v>169</v>
      </c>
    </row>
    <row r="30" customFormat="false" ht="15" hidden="false" customHeight="false" outlineLevel="0" collapsed="false">
      <c r="A30" s="10" t="s">
        <v>170</v>
      </c>
      <c r="B30" s="11" t="s">
        <v>67</v>
      </c>
      <c r="C30" s="11" t="n">
        <v>2500</v>
      </c>
      <c r="D30" s="11" t="n">
        <v>43.2</v>
      </c>
      <c r="E30" s="11" t="n">
        <f aca="false">C30*D30</f>
        <v>108000</v>
      </c>
      <c r="F30" s="10" t="s">
        <v>72</v>
      </c>
      <c r="G30" s="10" t="s">
        <v>171</v>
      </c>
    </row>
    <row r="31" customFormat="false" ht="15" hidden="false" customHeight="false" outlineLevel="0" collapsed="false">
      <c r="A31" s="10" t="s">
        <v>172</v>
      </c>
      <c r="B31" s="11" t="s">
        <v>70</v>
      </c>
      <c r="C31" s="11" t="n">
        <v>1500</v>
      </c>
      <c r="D31" s="11" t="n">
        <v>37.5</v>
      </c>
      <c r="E31" s="11" t="n">
        <f aca="false">C31*D31</f>
        <v>56250</v>
      </c>
      <c r="F31" s="10" t="s">
        <v>72</v>
      </c>
      <c r="G31" s="10" t="s">
        <v>171</v>
      </c>
    </row>
    <row r="32" customFormat="false" ht="15" hidden="false" customHeight="false" outlineLevel="0" collapsed="false">
      <c r="A32" s="10" t="s">
        <v>173</v>
      </c>
      <c r="B32" s="11" t="s">
        <v>71</v>
      </c>
      <c r="C32" s="11" t="n">
        <v>1000</v>
      </c>
      <c r="D32" s="11" t="n">
        <v>31.9</v>
      </c>
      <c r="E32" s="11" t="n">
        <f aca="false">C32*D32</f>
        <v>31900</v>
      </c>
      <c r="F32" s="10" t="s">
        <v>69</v>
      </c>
      <c r="G32" s="10" t="s">
        <v>174</v>
      </c>
    </row>
    <row r="33" customFormat="false" ht="15" hidden="false" customHeight="false" outlineLevel="0" collapsed="false">
      <c r="A33" s="3" t="s">
        <v>175</v>
      </c>
      <c r="B33" s="11"/>
      <c r="C33" s="11" t="n">
        <f aca="false">C30+C31</f>
        <v>4000</v>
      </c>
      <c r="D33" s="11"/>
      <c r="E33" s="11" t="n">
        <f aca="false">E30+E31</f>
        <v>164250</v>
      </c>
      <c r="F33" s="10" t="s">
        <v>176</v>
      </c>
      <c r="G3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.01"/>
    <col collapsed="false" customWidth="true" hidden="false" outlineLevel="0" max="2" min="2" style="0" width="8"/>
    <col collapsed="false" customWidth="true" hidden="false" outlineLevel="0" max="3" min="3" style="0" width="11.99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34"/>
  </cols>
  <sheetData>
    <row r="1" customFormat="false" ht="15" hidden="false" customHeight="false" outlineLevel="0" collapsed="false">
      <c r="A1" s="1" t="s">
        <v>177</v>
      </c>
    </row>
    <row r="2" customFormat="false" ht="15" hidden="false" customHeight="false" outlineLevel="0" collapsed="false">
      <c r="A2" s="2" t="s">
        <v>178</v>
      </c>
      <c r="B2" s="2" t="s">
        <v>179</v>
      </c>
      <c r="C2" s="2" t="s">
        <v>180</v>
      </c>
      <c r="D2" s="2" t="s">
        <v>181</v>
      </c>
      <c r="E2" s="2" t="s">
        <v>182</v>
      </c>
      <c r="F2" s="2" t="s">
        <v>183</v>
      </c>
    </row>
    <row r="3" customFormat="false" ht="15" hidden="false" customHeight="false" outlineLevel="0" collapsed="false">
      <c r="A3" s="5" t="s">
        <v>71</v>
      </c>
      <c r="B3" s="4" t="s">
        <v>184</v>
      </c>
      <c r="C3" s="4" t="s">
        <v>185</v>
      </c>
      <c r="D3" s="4" t="s">
        <v>186</v>
      </c>
      <c r="E3" s="5" t="s">
        <v>187</v>
      </c>
      <c r="F3" s="4" t="s">
        <v>188</v>
      </c>
    </row>
    <row r="4" customFormat="false" ht="15" hidden="false" customHeight="false" outlineLevel="0" collapsed="false">
      <c r="A4" s="5" t="s">
        <v>189</v>
      </c>
      <c r="B4" s="4" t="s">
        <v>190</v>
      </c>
      <c r="C4" s="4" t="s">
        <v>69</v>
      </c>
      <c r="D4" s="4" t="s">
        <v>191</v>
      </c>
      <c r="E4" s="5" t="s">
        <v>187</v>
      </c>
      <c r="F4" s="5"/>
    </row>
    <row r="5" customFormat="false" ht="15" hidden="false" customHeight="false" outlineLevel="0" collapsed="false">
      <c r="A5" s="5" t="s">
        <v>192</v>
      </c>
      <c r="B5" s="4" t="s">
        <v>193</v>
      </c>
      <c r="C5" s="4" t="s">
        <v>69</v>
      </c>
      <c r="D5" s="4" t="s">
        <v>191</v>
      </c>
      <c r="E5" s="5" t="s">
        <v>187</v>
      </c>
      <c r="F5" s="5"/>
    </row>
    <row r="6" customFormat="false" ht="15" hidden="false" customHeight="false" outlineLevel="0" collapsed="false">
      <c r="A6" s="5" t="s">
        <v>52</v>
      </c>
      <c r="B6" s="4" t="s">
        <v>194</v>
      </c>
      <c r="C6" s="4" t="s">
        <v>72</v>
      </c>
      <c r="D6" s="5" t="s">
        <v>195</v>
      </c>
      <c r="E6" s="4" t="s">
        <v>196</v>
      </c>
      <c r="F6" s="4" t="s">
        <v>197</v>
      </c>
    </row>
    <row r="7" customFormat="false" ht="15" hidden="false" customHeight="false" outlineLevel="0" collapsed="false">
      <c r="A7" s="5" t="s">
        <v>198</v>
      </c>
      <c r="B7" s="4" t="s">
        <v>199</v>
      </c>
      <c r="C7" s="4" t="s">
        <v>72</v>
      </c>
      <c r="D7" s="4" t="s">
        <v>200</v>
      </c>
      <c r="E7" s="5" t="s">
        <v>201</v>
      </c>
      <c r="F7" s="5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14.01"/>
    <col collapsed="false" customWidth="true" hidden="false" outlineLevel="0" max="5" min="4" style="0" width="10"/>
    <col collapsed="false" customWidth="true" hidden="false" outlineLevel="0" max="6" min="6" style="0" width="13.01"/>
    <col collapsed="false" customWidth="true" hidden="false" outlineLevel="0" max="7" min="7" style="0" width="34"/>
    <col collapsed="false" customWidth="true" hidden="false" outlineLevel="0" max="8" min="8" style="0" width="11.99"/>
    <col collapsed="false" customWidth="true" hidden="false" outlineLevel="0" max="9" min="9" style="0" width="13.01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1" t="s">
        <v>203</v>
      </c>
    </row>
    <row r="3" customFormat="false" ht="15" hidden="false" customHeight="false" outlineLevel="0" collapsed="false">
      <c r="A3" s="2" t="s">
        <v>54</v>
      </c>
      <c r="B3" s="2" t="s">
        <v>204</v>
      </c>
      <c r="C3" s="2" t="s">
        <v>58</v>
      </c>
      <c r="D3" s="2" t="s">
        <v>205</v>
      </c>
      <c r="E3" s="12" t="s">
        <v>206</v>
      </c>
      <c r="F3" s="2" t="s">
        <v>207</v>
      </c>
      <c r="G3" s="2" t="s">
        <v>208</v>
      </c>
      <c r="H3" s="2" t="s">
        <v>209</v>
      </c>
      <c r="I3" s="2" t="s">
        <v>210</v>
      </c>
      <c r="J3" s="2" t="s">
        <v>211</v>
      </c>
    </row>
    <row r="4" customFormat="false" ht="15" hidden="false" customHeight="false" outlineLevel="0" collapsed="false">
      <c r="A4" s="11" t="s">
        <v>64</v>
      </c>
      <c r="B4" s="10" t="s">
        <v>212</v>
      </c>
      <c r="C4" s="11" t="n">
        <v>4000</v>
      </c>
      <c r="D4" s="11" t="n">
        <v>32.8</v>
      </c>
      <c r="E4" s="11" t="n">
        <v>32.8</v>
      </c>
      <c r="F4" s="11" t="n">
        <f aca="false">C4*E4</f>
        <v>131200</v>
      </c>
      <c r="G4" s="11" t="s">
        <v>213</v>
      </c>
      <c r="H4" s="11" t="n">
        <f aca="false">MAX(F4*0.0003,5)+F4*0.0005</f>
        <v>104.96</v>
      </c>
      <c r="I4" s="11" t="n">
        <f aca="false">F4-H4</f>
        <v>131095.04</v>
      </c>
      <c r="J4" s="11" t="n">
        <f aca="false">I4-((2500*43.2+1500*37.5))</f>
        <v>-33154.96</v>
      </c>
    </row>
    <row r="5" customFormat="false" ht="15" hidden="false" customHeight="false" outlineLevel="0" collapsed="false">
      <c r="A5" s="11" t="s">
        <v>82</v>
      </c>
      <c r="B5" s="10" t="s">
        <v>212</v>
      </c>
      <c r="C5" s="11" t="n">
        <v>300</v>
      </c>
      <c r="D5" s="11" t="n">
        <v>105</v>
      </c>
      <c r="E5" s="11" t="n">
        <v>105</v>
      </c>
      <c r="F5" s="11" t="n">
        <f aca="false">C5*E5</f>
        <v>31500</v>
      </c>
      <c r="G5" s="11" t="s">
        <v>214</v>
      </c>
      <c r="H5" s="11" t="n">
        <f aca="false">MAX(F5*0.0003,5)+F5*0.0005</f>
        <v>25.2</v>
      </c>
      <c r="I5" s="11" t="n">
        <f aca="false">F5-H5</f>
        <v>31474.8</v>
      </c>
      <c r="J5" s="11" t="n">
        <f aca="false">I5-(300*82.4)</f>
        <v>6754.8</v>
      </c>
    </row>
    <row r="6" customFormat="false" ht="15" hidden="false" customHeight="false" outlineLevel="0" collapsed="false">
      <c r="A6" s="11" t="s">
        <v>88</v>
      </c>
      <c r="B6" s="10" t="s">
        <v>212</v>
      </c>
      <c r="C6" s="11" t="n">
        <v>10000</v>
      </c>
      <c r="D6" s="11" t="n">
        <v>15.3</v>
      </c>
      <c r="E6" s="11" t="n">
        <f aca="false">15.3*0.92</f>
        <v>14.076</v>
      </c>
      <c r="F6" s="11" t="n">
        <f aca="false">C6*E6</f>
        <v>140760</v>
      </c>
      <c r="G6" s="10" t="s">
        <v>215</v>
      </c>
      <c r="H6" s="11" t="n">
        <f aca="false">F6*0.001</f>
        <v>140.76</v>
      </c>
      <c r="I6" s="11" t="n">
        <f aca="false">F6-H6</f>
        <v>140619.24</v>
      </c>
      <c r="J6" s="11" t="n">
        <f aca="false">I6-(10000*16.4*0.92)</f>
        <v>-10260.76</v>
      </c>
    </row>
    <row r="7" customFormat="false" ht="15" hidden="false" customHeight="false" outlineLevel="0" collapsed="false">
      <c r="A7" s="3" t="s">
        <v>163</v>
      </c>
      <c r="B7" s="11"/>
      <c r="C7" s="11"/>
      <c r="D7" s="11"/>
      <c r="E7" s="11"/>
      <c r="F7" s="11" t="n">
        <f aca="false">SUM(F4:F6)</f>
        <v>303460</v>
      </c>
      <c r="G7" s="11"/>
      <c r="H7" s="11" t="n">
        <f aca="false">SUM(H4:H6)</f>
        <v>270.92</v>
      </c>
      <c r="I7" s="11" t="n">
        <f aca="false">SUM(I4:I6)</f>
        <v>303189.08</v>
      </c>
      <c r="J7" s="11" t="n">
        <f aca="false">SUM(J4:J6)</f>
        <v>-36660.92</v>
      </c>
    </row>
    <row r="9" customFormat="false" ht="15" hidden="false" customHeight="false" outlineLevel="0" collapsed="false">
      <c r="A9" s="13" t="s">
        <v>216</v>
      </c>
    </row>
    <row r="10" customFormat="false" ht="15" hidden="false" customHeight="false" outlineLevel="0" collapsed="false">
      <c r="A10" s="2" t="s">
        <v>134</v>
      </c>
      <c r="B10" s="2" t="s">
        <v>135</v>
      </c>
      <c r="C10" s="2" t="s">
        <v>136</v>
      </c>
    </row>
    <row r="11" customFormat="false" ht="15" hidden="false" customHeight="false" outlineLevel="0" collapsed="false">
      <c r="A11" s="10" t="s">
        <v>217</v>
      </c>
      <c r="B11" s="10" t="s">
        <v>218</v>
      </c>
      <c r="C11" s="11" t="n">
        <f aca="false">输入_账户!B7</f>
        <v>1032660</v>
      </c>
    </row>
    <row r="12" customFormat="false" ht="15" hidden="false" customHeight="false" outlineLevel="0" collapsed="false">
      <c r="A12" s="10" t="s">
        <v>219</v>
      </c>
      <c r="B12" s="10" t="s">
        <v>218</v>
      </c>
      <c r="C12" s="11" t="n">
        <f aca="false">交易明细与费用!H7</f>
        <v>270.92</v>
      </c>
    </row>
    <row r="13" customFormat="false" ht="15" hidden="false" customHeight="false" outlineLevel="0" collapsed="false">
      <c r="A13" s="10" t="s">
        <v>220</v>
      </c>
      <c r="B13" s="10" t="s">
        <v>218</v>
      </c>
      <c r="C13" s="11" t="n">
        <f aca="false">C11-C12</f>
        <v>1032389.08</v>
      </c>
    </row>
    <row r="14" customFormat="false" ht="15" hidden="false" customHeight="false" outlineLevel="0" collapsed="false">
      <c r="A14" s="10" t="s">
        <v>221</v>
      </c>
      <c r="B14" s="10" t="s">
        <v>218</v>
      </c>
      <c r="C14" s="11" t="n">
        <f aca="false">输入_账户!B3+交易明细与费用!I7</f>
        <v>445689.08</v>
      </c>
    </row>
    <row r="15" customFormat="false" ht="15" hidden="false" customHeight="false" outlineLevel="0" collapsed="false">
      <c r="A15" s="10" t="s">
        <v>222</v>
      </c>
      <c r="B15" s="10" t="s">
        <v>218</v>
      </c>
      <c r="C15" s="11" t="n">
        <f aca="false">-输入_账户!B9</f>
        <v>-50000</v>
      </c>
    </row>
    <row r="16" customFormat="false" ht="15" hidden="false" customHeight="false" outlineLevel="0" collapsed="false">
      <c r="A16" s="10" t="s">
        <v>223</v>
      </c>
      <c r="B16" s="10" t="s">
        <v>218</v>
      </c>
      <c r="C16" s="11" t="n">
        <f aca="false">C14+C15</f>
        <v>395689.08</v>
      </c>
    </row>
    <row r="17" customFormat="false" ht="15" hidden="false" customHeight="false" outlineLevel="0" collapsed="false">
      <c r="A17" s="10" t="s">
        <v>224</v>
      </c>
      <c r="B17" s="10" t="s">
        <v>218</v>
      </c>
      <c r="C17" s="11" t="n">
        <f aca="false">C13+C15</f>
        <v>982389.08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6"/>
    <col collapsed="false" customWidth="true" hidden="false" outlineLevel="0" max="5" min="5" style="0" width="14.01"/>
    <col collapsed="false" customWidth="true" hidden="false" outlineLevel="0" max="6" min="6" style="0" width="16"/>
    <col collapsed="false" customWidth="true" hidden="false" outlineLevel="0" max="7" min="7" style="0" width="11.99"/>
    <col collapsed="false" customWidth="true" hidden="false" outlineLevel="0" max="9" min="8" style="0" width="16"/>
    <col collapsed="false" customWidth="true" hidden="false" outlineLevel="0" max="10" min="10" style="0" width="11.99"/>
  </cols>
  <sheetData>
    <row r="1" customFormat="false" ht="15" hidden="false" customHeight="false" outlineLevel="0" collapsed="false">
      <c r="A1" s="1" t="s">
        <v>225</v>
      </c>
    </row>
    <row r="3" customFormat="false" ht="15" hidden="false" customHeight="false" outlineLevel="0" collapsed="false">
      <c r="A3" s="2" t="s">
        <v>54</v>
      </c>
      <c r="B3" s="2" t="s">
        <v>226</v>
      </c>
      <c r="C3" s="2" t="s">
        <v>227</v>
      </c>
      <c r="D3" s="2" t="s">
        <v>228</v>
      </c>
      <c r="E3" s="2" t="s">
        <v>229</v>
      </c>
      <c r="F3" s="2" t="s">
        <v>230</v>
      </c>
      <c r="G3" s="2" t="s">
        <v>231</v>
      </c>
      <c r="H3" s="2" t="s">
        <v>232</v>
      </c>
      <c r="I3" s="2" t="s">
        <v>233</v>
      </c>
      <c r="J3" s="2" t="s">
        <v>234</v>
      </c>
    </row>
    <row r="4" customFormat="false" ht="15" hidden="false" customHeight="false" outlineLevel="0" collapsed="false">
      <c r="A4" s="11" t="s">
        <v>64</v>
      </c>
      <c r="B4" s="11" t="n">
        <v>5000</v>
      </c>
      <c r="C4" s="11" t="n">
        <f aca="false">B4*32.8</f>
        <v>164000</v>
      </c>
      <c r="D4" s="15" t="n">
        <f aca="false">C4/1032660</f>
        <v>0.158813162124998</v>
      </c>
      <c r="E4" s="11" t="n">
        <v>1000</v>
      </c>
      <c r="F4" s="11" t="n">
        <f aca="false">E4*32.8</f>
        <v>32800</v>
      </c>
      <c r="G4" s="15" t="n">
        <f aca="false">F4/交易明细与费用!C17</f>
        <v>0.0333879932785898</v>
      </c>
      <c r="H4" s="11" t="n">
        <v>2000</v>
      </c>
      <c r="I4" s="11" t="n">
        <f aca="false">H4*32.8</f>
        <v>65600</v>
      </c>
      <c r="J4" s="15" t="n">
        <f aca="false">I4/983900</f>
        <v>0.0666734424230105</v>
      </c>
    </row>
    <row r="5" customFormat="false" ht="15" hidden="false" customHeight="false" outlineLevel="0" collapsed="false">
      <c r="A5" s="11" t="s">
        <v>73</v>
      </c>
      <c r="B5" s="11" t="n">
        <v>3000</v>
      </c>
      <c r="C5" s="11" t="n">
        <f aca="false">B5*58.4</f>
        <v>175200</v>
      </c>
      <c r="D5" s="15" t="n">
        <f aca="false">C5/1032660</f>
        <v>0.169658939050607</v>
      </c>
      <c r="E5" s="11" t="n">
        <v>3000</v>
      </c>
      <c r="F5" s="11" t="n">
        <f aca="false">E5*58.4</f>
        <v>175200</v>
      </c>
      <c r="G5" s="15" t="n">
        <f aca="false">F5/交易明细与费用!C17</f>
        <v>0.178340744585638</v>
      </c>
      <c r="H5" s="11" t="n">
        <v>0</v>
      </c>
      <c r="I5" s="11" t="n">
        <f aca="false">H5*58.4</f>
        <v>0</v>
      </c>
      <c r="J5" s="15" t="n">
        <f aca="false">I5/983900</f>
        <v>0</v>
      </c>
    </row>
    <row r="6" customFormat="false" ht="15" hidden="false" customHeight="false" outlineLevel="0" collapsed="false">
      <c r="A6" s="11" t="s">
        <v>76</v>
      </c>
      <c r="B6" s="11" t="n">
        <v>8000</v>
      </c>
      <c r="C6" s="11" t="n">
        <f aca="false">B6*9.62</f>
        <v>76960</v>
      </c>
      <c r="D6" s="15" t="n">
        <f aca="false">C6/1032660</f>
        <v>0.0745259814459745</v>
      </c>
      <c r="E6" s="11" t="n">
        <v>8000</v>
      </c>
      <c r="F6" s="11" t="n">
        <f aca="false">E6*9.62</f>
        <v>76960</v>
      </c>
      <c r="G6" s="15" t="n">
        <f aca="false">F6/交易明细与费用!C17</f>
        <v>0.0783396330097643</v>
      </c>
      <c r="H6" s="11" t="n">
        <v>8000</v>
      </c>
      <c r="I6" s="11" t="n">
        <f aca="false">H6*9.62</f>
        <v>76960</v>
      </c>
      <c r="J6" s="15" t="n">
        <f aca="false">I6/983900</f>
        <v>0.0782193312328489</v>
      </c>
    </row>
    <row r="7" customFormat="false" ht="15" hidden="false" customHeight="false" outlineLevel="0" collapsed="false">
      <c r="A7" s="11" t="s">
        <v>79</v>
      </c>
      <c r="B7" s="11" t="n">
        <v>6000</v>
      </c>
      <c r="C7" s="11" t="n">
        <f aca="false">B7*12.35</f>
        <v>74100</v>
      </c>
      <c r="D7" s="15" t="n">
        <f aca="false">C7/1032660</f>
        <v>0.0717564348381849</v>
      </c>
      <c r="E7" s="11" t="n">
        <v>6000</v>
      </c>
      <c r="F7" s="11" t="n">
        <f aca="false">E7*12.35</f>
        <v>74100</v>
      </c>
      <c r="G7" s="15" t="n">
        <f aca="false">F7/交易明细与费用!C17</f>
        <v>0.0754283628641312</v>
      </c>
      <c r="H7" s="11" t="n">
        <v>6000</v>
      </c>
      <c r="I7" s="11" t="n">
        <f aca="false">H7*12.35</f>
        <v>74100</v>
      </c>
      <c r="J7" s="15" t="n">
        <f aca="false">I7/983900</f>
        <v>0.0753125317613579</v>
      </c>
    </row>
    <row r="8" customFormat="false" ht="15" hidden="false" customHeight="false" outlineLevel="0" collapsed="false">
      <c r="A8" s="11" t="s">
        <v>82</v>
      </c>
      <c r="B8" s="11" t="n">
        <v>2000</v>
      </c>
      <c r="C8" s="11" t="n">
        <f aca="false">B8*105</f>
        <v>210000</v>
      </c>
      <c r="D8" s="15" t="n">
        <f aca="false">C8/1032660</f>
        <v>0.20335831735518</v>
      </c>
      <c r="E8" s="11" t="n">
        <v>1700</v>
      </c>
      <c r="F8" s="11" t="n">
        <f aca="false">E8*105</f>
        <v>178500</v>
      </c>
      <c r="G8" s="15" t="n">
        <f aca="false">F8/交易明细与费用!C17</f>
        <v>0.181699902445984</v>
      </c>
      <c r="H8" s="11" t="n">
        <v>1800</v>
      </c>
      <c r="I8" s="11" t="n">
        <f aca="false">H8*105</f>
        <v>189000</v>
      </c>
      <c r="J8" s="15" t="n">
        <f aca="false">I8/983900</f>
        <v>0.192092692346783</v>
      </c>
    </row>
    <row r="9" customFormat="false" ht="15" hidden="false" customHeight="false" outlineLevel="0" collapsed="false">
      <c r="A9" s="11" t="s">
        <v>84</v>
      </c>
      <c r="B9" s="11" t="n">
        <v>10000</v>
      </c>
      <c r="C9" s="11" t="n">
        <f aca="false">B9*2.88</f>
        <v>28800</v>
      </c>
      <c r="D9" s="15" t="n">
        <f aca="false">C9/1032660</f>
        <v>0.0278891406658532</v>
      </c>
      <c r="E9" s="11" t="n">
        <v>10000</v>
      </c>
      <c r="F9" s="11" t="n">
        <f aca="false">E9*2.88</f>
        <v>28800</v>
      </c>
      <c r="G9" s="15" t="n">
        <f aca="false">F9/交易明细与费用!C17</f>
        <v>0.0293162867812008</v>
      </c>
      <c r="H9" s="11" t="n">
        <v>10000</v>
      </c>
      <c r="I9" s="11" t="n">
        <f aca="false">H9*2.88</f>
        <v>28800</v>
      </c>
      <c r="J9" s="15" t="n">
        <f aca="false">I9/983900</f>
        <v>0.0292712674052241</v>
      </c>
    </row>
    <row r="10" customFormat="false" ht="15" hidden="false" customHeight="false" outlineLevel="0" collapsed="false">
      <c r="A10" s="11" t="s">
        <v>88</v>
      </c>
      <c r="B10" s="11" t="n">
        <v>10000</v>
      </c>
      <c r="C10" s="11" t="n">
        <f aca="false">B10*15.3*0.92</f>
        <v>140760</v>
      </c>
      <c r="D10" s="15" t="n">
        <f aca="false">C10/1032660</f>
        <v>0.136308175004358</v>
      </c>
      <c r="E10" s="11" t="n">
        <v>0</v>
      </c>
      <c r="F10" s="11" t="n">
        <f aca="false">E10*15.3*0.92</f>
        <v>0</v>
      </c>
      <c r="G10" s="15" t="n">
        <f aca="false">F10/交易明细与费用!C17</f>
        <v>0</v>
      </c>
      <c r="H10" s="11" t="n">
        <v>8000</v>
      </c>
      <c r="I10" s="11" t="n">
        <f aca="false">H10*15.3*0.92</f>
        <v>112608</v>
      </c>
      <c r="J10" s="15" t="n">
        <f aca="false">I10/983900</f>
        <v>0.114450655554426</v>
      </c>
    </row>
    <row r="11" customFormat="false" ht="15" hidden="false" customHeight="false" outlineLevel="0" collapsed="false">
      <c r="A11" s="3" t="s">
        <v>235</v>
      </c>
      <c r="B11" s="11"/>
      <c r="C11" s="11" t="n">
        <f aca="false">SUM(C4:C10)</f>
        <v>869820</v>
      </c>
      <c r="D11" s="11"/>
      <c r="E11" s="11"/>
      <c r="F11" s="11" t="n">
        <f aca="false">SUM(F4:F10)</f>
        <v>566360</v>
      </c>
      <c r="G11" s="11"/>
      <c r="H11" s="11"/>
      <c r="I11" s="11" t="n">
        <f aca="false">SUM(I4:I10)</f>
        <v>547068</v>
      </c>
      <c r="J11" s="11"/>
    </row>
    <row r="13" customFormat="false" ht="15" hidden="false" customHeight="false" outlineLevel="0" collapsed="false">
      <c r="A13" s="13" t="s">
        <v>236</v>
      </c>
    </row>
    <row r="14" customFormat="false" ht="15" hidden="false" customHeight="false" outlineLevel="0" collapsed="false">
      <c r="A14" s="2" t="s">
        <v>237</v>
      </c>
      <c r="B14" s="2" t="s">
        <v>238</v>
      </c>
      <c r="C14" s="2" t="s">
        <v>239</v>
      </c>
      <c r="D14" s="12" t="s">
        <v>240</v>
      </c>
      <c r="E14" s="2"/>
    </row>
    <row r="15" customFormat="false" ht="15" hidden="false" customHeight="false" outlineLevel="0" collapsed="false">
      <c r="A15" s="10" t="s">
        <v>241</v>
      </c>
      <c r="B15" s="11" t="n">
        <f aca="false">C4+C5+C8+C10</f>
        <v>689960</v>
      </c>
      <c r="C15" s="11" t="n">
        <f aca="false">F4+F5+F8+F10</f>
        <v>386500</v>
      </c>
      <c r="D15" s="11" t="n">
        <f aca="false">I4+I5+I8+I10</f>
        <v>367208</v>
      </c>
    </row>
    <row r="16" customFormat="false" ht="15" hidden="false" customHeight="false" outlineLevel="0" collapsed="false">
      <c r="A16" s="10" t="s">
        <v>242</v>
      </c>
      <c r="B16" s="11" t="n">
        <f aca="false">C4+C5+C8</f>
        <v>549200</v>
      </c>
      <c r="C16" s="11" t="n">
        <f aca="false">F4+F5+F8</f>
        <v>386500</v>
      </c>
      <c r="D16" s="11" t="n">
        <f aca="false">I4+I5+I8</f>
        <v>254600</v>
      </c>
    </row>
    <row r="17" customFormat="false" ht="15" hidden="false" customHeight="false" outlineLevel="0" collapsed="false">
      <c r="A17" s="10" t="s">
        <v>243</v>
      </c>
      <c r="B17" s="11" t="n">
        <f aca="false">C10+21540</f>
        <v>162300</v>
      </c>
      <c r="C17" s="11" t="n">
        <f aca="false">F10+21540</f>
        <v>21540</v>
      </c>
      <c r="D17" s="11" t="n">
        <f aca="false">I10+21540</f>
        <v>134148</v>
      </c>
    </row>
    <row r="18" customFormat="false" ht="15" hidden="false" customHeight="false" outlineLevel="0" collapsed="false">
      <c r="A18" s="10" t="s">
        <v>244</v>
      </c>
      <c r="B18" s="11" t="n">
        <f aca="false">142500+21540-50000</f>
        <v>114040</v>
      </c>
      <c r="C18" s="11" t="n">
        <f aca="false">交易明细与费用!C16+21540</f>
        <v>417229.08</v>
      </c>
      <c r="D18" s="10" t="s">
        <v>245</v>
      </c>
    </row>
    <row r="19" customFormat="false" ht="15" hidden="false" customHeight="false" outlineLevel="0" collapsed="false">
      <c r="A19" s="3" t="s">
        <v>246</v>
      </c>
      <c r="B19" s="11" t="n">
        <f aca="false">1032660-50000</f>
        <v>982660</v>
      </c>
      <c r="C19" s="11" t="n">
        <f aca="false">交易明细与费用!C17</f>
        <v>982389.08</v>
      </c>
      <c r="D19" s="11" t="s">
        <v>247</v>
      </c>
    </row>
    <row r="20" customFormat="false" ht="15" hidden="false" customHeight="false" outlineLevel="0" collapsed="false">
      <c r="A20" s="16" t="s">
        <v>248</v>
      </c>
      <c r="B20" s="17" t="n">
        <f aca="false">B15/B19</f>
        <v>0.702135021268801</v>
      </c>
      <c r="C20" s="17" t="n">
        <f aca="false">C15/C19</f>
        <v>0.393428640310212</v>
      </c>
      <c r="D20" s="17" t="n">
        <f aca="false">D15/983900</f>
        <v>0.37321679032422</v>
      </c>
    </row>
    <row r="21" customFormat="false" ht="15" hidden="false" customHeight="false" outlineLevel="0" collapsed="false">
      <c r="A21" s="16" t="s">
        <v>249</v>
      </c>
      <c r="B21" s="17" t="n">
        <f aca="false">B16/B19</f>
        <v>0.558891172938758</v>
      </c>
      <c r="C21" s="17" t="n">
        <f aca="false">C16/C19</f>
        <v>0.393428640310212</v>
      </c>
      <c r="D21" s="17" t="n">
        <f aca="false">D16/983900</f>
        <v>0.258766134769794</v>
      </c>
    </row>
    <row r="22" customFormat="false" ht="15" hidden="false" customHeight="false" outlineLevel="0" collapsed="false">
      <c r="A22" s="16" t="s">
        <v>250</v>
      </c>
      <c r="B22" s="17" t="n">
        <f aca="false">B17/B19</f>
        <v>0.16516394276759</v>
      </c>
      <c r="C22" s="17" t="n">
        <f aca="false">C17/C19</f>
        <v>0.0219261394884398</v>
      </c>
      <c r="D22" s="17" t="n">
        <f aca="false">D17/983900</f>
        <v>0.13634312430125</v>
      </c>
    </row>
    <row r="23" customFormat="false" ht="15" hidden="false" customHeight="false" outlineLevel="0" collapsed="false">
      <c r="A23" s="16" t="s">
        <v>251</v>
      </c>
      <c r="B23" s="17" t="n">
        <f aca="false">B18/B19</f>
        <v>0.116052347709279</v>
      </c>
      <c r="C23" s="17" t="n">
        <f aca="false">C18/C19</f>
        <v>0.424708588983908</v>
      </c>
      <c r="D23" s="0" t="s">
        <v>187</v>
      </c>
    </row>
    <row r="25" customFormat="false" ht="15" hidden="false" customHeight="false" outlineLevel="0" collapsed="false">
      <c r="A25" s="9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16"/>
    <col collapsed="false" customWidth="true" hidden="false" outlineLevel="0" max="3" min="3" style="0" width="14.01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11.99"/>
    <col collapsed="false" customWidth="true" hidden="false" outlineLevel="0" max="7" min="7" style="0" width="19.99"/>
    <col collapsed="false" customWidth="true" hidden="false" outlineLevel="0" max="8" min="8" style="0" width="30.01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" t="s">
        <v>253</v>
      </c>
    </row>
    <row r="3" customFormat="false" ht="15" hidden="false" customHeight="false" outlineLevel="0" collapsed="false">
      <c r="A3" s="2" t="s">
        <v>254</v>
      </c>
      <c r="B3" s="2" t="s">
        <v>255</v>
      </c>
      <c r="C3" s="2" t="s">
        <v>14</v>
      </c>
      <c r="D3" s="2" t="s">
        <v>256</v>
      </c>
      <c r="E3" s="2" t="s">
        <v>16</v>
      </c>
      <c r="F3" s="2" t="s">
        <v>17</v>
      </c>
      <c r="G3" s="2" t="s">
        <v>257</v>
      </c>
      <c r="H3" s="2" t="s">
        <v>258</v>
      </c>
      <c r="I3" s="2" t="s">
        <v>259</v>
      </c>
    </row>
    <row r="4" customFormat="false" ht="15" hidden="false" customHeight="false" outlineLevel="0" collapsed="false">
      <c r="A4" s="10" t="s">
        <v>22</v>
      </c>
      <c r="B4" s="10" t="s">
        <v>260</v>
      </c>
      <c r="C4" s="15" t="n">
        <f aca="false">210000/1032660</f>
        <v>0.20335831735518</v>
      </c>
      <c r="D4" s="11" t="s">
        <v>261</v>
      </c>
      <c r="E4" s="15" t="n">
        <f aca="false">178500/交易明细与费用!C17</f>
        <v>0.181699902445984</v>
      </c>
      <c r="F4" s="18" t="s">
        <v>262</v>
      </c>
      <c r="G4" s="10" t="s">
        <v>263</v>
      </c>
      <c r="H4" s="10" t="s">
        <v>264</v>
      </c>
      <c r="I4" s="11" t="s">
        <v>265</v>
      </c>
    </row>
    <row r="5" customFormat="false" ht="15" hidden="false" customHeight="false" outlineLevel="0" collapsed="false">
      <c r="A5" s="10" t="s">
        <v>266</v>
      </c>
      <c r="B5" s="10" t="s">
        <v>267</v>
      </c>
      <c r="C5" s="15" t="n">
        <f aca="false">689960/1032660</f>
        <v>0.668138593535142</v>
      </c>
      <c r="D5" s="10" t="s">
        <v>268</v>
      </c>
      <c r="E5" s="15" t="n">
        <f aca="false">386500/交易明细与费用!C17</f>
        <v>0.393428640310212</v>
      </c>
      <c r="F5" s="18" t="s">
        <v>262</v>
      </c>
      <c r="G5" s="10" t="s">
        <v>269</v>
      </c>
      <c r="H5" s="11" t="s">
        <v>270</v>
      </c>
      <c r="I5" s="11" t="s">
        <v>271</v>
      </c>
    </row>
    <row r="6" customFormat="false" ht="15" hidden="false" customHeight="false" outlineLevel="0" collapsed="false">
      <c r="A6" s="10" t="s">
        <v>272</v>
      </c>
      <c r="B6" s="10" t="s">
        <v>273</v>
      </c>
      <c r="C6" s="15" t="n">
        <f aca="false">549200/1032660</f>
        <v>0.531830418530785</v>
      </c>
      <c r="D6" s="10" t="s">
        <v>274</v>
      </c>
      <c r="E6" s="15" t="n">
        <f aca="false">386500/交易明细与费用!C17</f>
        <v>0.393428640310212</v>
      </c>
      <c r="F6" s="18" t="s">
        <v>262</v>
      </c>
      <c r="G6" s="10" t="s">
        <v>275</v>
      </c>
      <c r="H6" s="10" t="s">
        <v>276</v>
      </c>
      <c r="I6" s="11" t="s">
        <v>271</v>
      </c>
    </row>
    <row r="7" customFormat="false" ht="15" hidden="false" customHeight="false" outlineLevel="0" collapsed="false">
      <c r="A7" s="10" t="s">
        <v>277</v>
      </c>
      <c r="B7" s="10" t="s">
        <v>278</v>
      </c>
      <c r="C7" s="15" t="n">
        <f aca="false">(140760+21540)/1032660</f>
        <v>0.15716692812736</v>
      </c>
      <c r="D7" s="11" t="s">
        <v>279</v>
      </c>
      <c r="E7" s="15" t="n">
        <f aca="false">21540/交易明细与费用!C17</f>
        <v>0.0219261394884398</v>
      </c>
      <c r="F7" s="18" t="s">
        <v>262</v>
      </c>
      <c r="G7" s="10" t="s">
        <v>280</v>
      </c>
      <c r="H7" s="10" t="s">
        <v>281</v>
      </c>
      <c r="I7" s="11" t="s">
        <v>282</v>
      </c>
    </row>
    <row r="8" customFormat="false" ht="15" hidden="false" customHeight="false" outlineLevel="0" collapsed="false">
      <c r="A8" s="10" t="s">
        <v>283</v>
      </c>
      <c r="B8" s="10" t="s">
        <v>284</v>
      </c>
      <c r="C8" s="15" t="n">
        <f aca="false">(142500+21540-50000)/(1032660-50000)</f>
        <v>0.116052347709279</v>
      </c>
      <c r="D8" s="10" t="s">
        <v>285</v>
      </c>
      <c r="E8" s="15" t="n">
        <f aca="false">(交易明细与费用!C16+21540)/交易明细与费用!C17</f>
        <v>0.424708588983908</v>
      </c>
      <c r="F8" s="18" t="s">
        <v>286</v>
      </c>
      <c r="G8" s="10" t="s">
        <v>287</v>
      </c>
      <c r="H8" s="10" t="s">
        <v>288</v>
      </c>
      <c r="I8" s="11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.01"/>
    <col collapsed="false" customWidth="true" hidden="false" outlineLevel="0" max="3" min="3" style="0" width="22.01"/>
    <col collapsed="false" customWidth="true" hidden="false" outlineLevel="0" max="4" min="4" style="0" width="26"/>
    <col collapsed="false" customWidth="true" hidden="false" outlineLevel="0" max="5" min="5" style="0" width="27.99"/>
    <col collapsed="false" customWidth="true" hidden="false" outlineLevel="0" max="6" min="6" style="0" width="16"/>
    <col collapsed="false" customWidth="true" hidden="false" outlineLevel="0" max="7" min="7" style="0" width="19.99"/>
    <col collapsed="false" customWidth="true" hidden="false" outlineLevel="0" max="8" min="8" style="0" width="16"/>
    <col collapsed="false" customWidth="true" hidden="false" outlineLevel="0" max="9" min="9" style="0" width="30.01"/>
    <col collapsed="false" customWidth="true" hidden="false" outlineLevel="0" max="10" min="10" style="0" width="26"/>
  </cols>
  <sheetData>
    <row r="1" customFormat="false" ht="15" hidden="false" customHeight="false" outlineLevel="0" collapsed="false">
      <c r="A1" s="19" t="s">
        <v>290</v>
      </c>
    </row>
    <row r="3" customFormat="false" ht="15" hidden="false" customHeight="false" outlineLevel="0" collapsed="false">
      <c r="A3" s="2" t="s">
        <v>291</v>
      </c>
      <c r="B3" s="2" t="s">
        <v>292</v>
      </c>
      <c r="C3" s="2" t="s">
        <v>293</v>
      </c>
      <c r="D3" s="2" t="s">
        <v>294</v>
      </c>
      <c r="E3" s="2" t="s">
        <v>295</v>
      </c>
      <c r="F3" s="2" t="s">
        <v>296</v>
      </c>
      <c r="G3" s="2" t="s">
        <v>297</v>
      </c>
      <c r="H3" s="2" t="s">
        <v>298</v>
      </c>
      <c r="I3" s="2" t="s">
        <v>299</v>
      </c>
      <c r="J3" s="2" t="s">
        <v>300</v>
      </c>
    </row>
    <row r="4" customFormat="false" ht="69.75" hidden="false" customHeight="true" outlineLevel="0" collapsed="false">
      <c r="A4" s="5" t="s">
        <v>271</v>
      </c>
      <c r="B4" s="4" t="s">
        <v>301</v>
      </c>
      <c r="C4" s="4" t="s">
        <v>302</v>
      </c>
      <c r="D4" s="4" t="s">
        <v>303</v>
      </c>
      <c r="E4" s="4" t="s">
        <v>304</v>
      </c>
      <c r="F4" s="4" t="s">
        <v>305</v>
      </c>
      <c r="G4" s="4" t="s">
        <v>306</v>
      </c>
      <c r="H4" s="5" t="s">
        <v>307</v>
      </c>
      <c r="I4" s="5" t="s">
        <v>308</v>
      </c>
      <c r="J4" s="4" t="s">
        <v>309</v>
      </c>
    </row>
    <row r="5" customFormat="false" ht="69.75" hidden="false" customHeight="true" outlineLevel="0" collapsed="false">
      <c r="A5" s="5" t="s">
        <v>265</v>
      </c>
      <c r="B5" s="5" t="s">
        <v>310</v>
      </c>
      <c r="C5" s="5" t="s">
        <v>311</v>
      </c>
      <c r="D5" s="4" t="s">
        <v>312</v>
      </c>
      <c r="E5" s="4" t="s">
        <v>313</v>
      </c>
      <c r="F5" s="5" t="s">
        <v>314</v>
      </c>
      <c r="G5" s="4" t="s">
        <v>315</v>
      </c>
      <c r="H5" s="5" t="s">
        <v>316</v>
      </c>
      <c r="I5" s="5" t="s">
        <v>317</v>
      </c>
      <c r="J5" s="5" t="s">
        <v>314</v>
      </c>
    </row>
    <row r="6" customFormat="false" ht="69.75" hidden="false" customHeight="true" outlineLevel="0" collapsed="false">
      <c r="A6" s="5" t="s">
        <v>282</v>
      </c>
      <c r="B6" s="4" t="s">
        <v>318</v>
      </c>
      <c r="C6" s="5" t="s">
        <v>319</v>
      </c>
      <c r="D6" s="4" t="s">
        <v>320</v>
      </c>
      <c r="E6" s="4" t="s">
        <v>321</v>
      </c>
      <c r="F6" s="4" t="s">
        <v>322</v>
      </c>
      <c r="G6" s="4" t="s">
        <v>315</v>
      </c>
      <c r="H6" s="5" t="s">
        <v>316</v>
      </c>
      <c r="I6" s="5" t="s">
        <v>323</v>
      </c>
      <c r="J6" s="4" t="s">
        <v>322</v>
      </c>
    </row>
    <row r="7" customFormat="false" ht="69.75" hidden="false" customHeight="true" outlineLevel="0" collapsed="false">
      <c r="A7" s="5" t="s">
        <v>289</v>
      </c>
      <c r="B7" s="4" t="s">
        <v>324</v>
      </c>
      <c r="C7" s="4" t="s">
        <v>325</v>
      </c>
      <c r="D7" s="4" t="s">
        <v>326</v>
      </c>
      <c r="E7" s="4" t="s">
        <v>327</v>
      </c>
      <c r="F7" s="4" t="s">
        <v>328</v>
      </c>
      <c r="G7" s="4" t="s">
        <v>329</v>
      </c>
      <c r="H7" s="5" t="s">
        <v>330</v>
      </c>
      <c r="I7" s="4" t="s">
        <v>331</v>
      </c>
      <c r="J7" s="4" t="s">
        <v>332</v>
      </c>
    </row>
    <row r="8" customFormat="false" ht="69.75" hidden="false" customHeight="true" outlineLevel="0" collapsed="false">
      <c r="A8" s="5" t="s">
        <v>333</v>
      </c>
      <c r="B8" s="5" t="s">
        <v>334</v>
      </c>
      <c r="C8" s="4" t="s">
        <v>335</v>
      </c>
      <c r="D8" s="4" t="s">
        <v>336</v>
      </c>
      <c r="E8" s="4" t="s">
        <v>337</v>
      </c>
      <c r="F8" s="4" t="s">
        <v>338</v>
      </c>
      <c r="G8" s="4" t="s">
        <v>339</v>
      </c>
      <c r="H8" s="5" t="s">
        <v>340</v>
      </c>
      <c r="I8" s="5" t="s">
        <v>341</v>
      </c>
      <c r="J8" s="4" t="s">
        <v>342</v>
      </c>
    </row>
    <row r="9" customFormat="false" ht="69.75" hidden="false" customHeight="true" outlineLevel="0" collapsed="false">
      <c r="A9" s="5" t="s">
        <v>343</v>
      </c>
      <c r="B9" s="5" t="s">
        <v>344</v>
      </c>
      <c r="C9" s="4" t="s">
        <v>345</v>
      </c>
      <c r="D9" s="4" t="s">
        <v>346</v>
      </c>
      <c r="E9" s="4" t="s">
        <v>347</v>
      </c>
      <c r="F9" s="5" t="s">
        <v>187</v>
      </c>
      <c r="G9" s="5" t="s">
        <v>187</v>
      </c>
      <c r="H9" s="4" t="s">
        <v>348</v>
      </c>
      <c r="I9" s="4" t="s">
        <v>349</v>
      </c>
      <c r="J9" s="4" t="s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.99"/>
    <col collapsed="false" customWidth="true" hidden="false" outlineLevel="0" max="3" min="3" style="0" width="34"/>
    <col collapsed="false" customWidth="true" hidden="false" outlineLevel="0" max="4" min="4" style="0" width="30.01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" t="s">
        <v>351</v>
      </c>
    </row>
    <row r="3" customFormat="false" ht="15" hidden="false" customHeight="false" outlineLevel="0" collapsed="false">
      <c r="A3" s="2" t="s">
        <v>352</v>
      </c>
      <c r="B3" s="2" t="s">
        <v>353</v>
      </c>
      <c r="C3" s="2" t="s">
        <v>354</v>
      </c>
      <c r="D3" s="2" t="s">
        <v>355</v>
      </c>
      <c r="E3" s="2" t="s">
        <v>356</v>
      </c>
    </row>
    <row r="4" customFormat="false" ht="48" hidden="false" customHeight="true" outlineLevel="0" collapsed="false">
      <c r="A4" s="4" t="s">
        <v>357</v>
      </c>
      <c r="B4" s="4" t="s">
        <v>358</v>
      </c>
      <c r="C4" s="5" t="s">
        <v>359</v>
      </c>
      <c r="D4" s="4" t="s">
        <v>360</v>
      </c>
      <c r="E4" s="5" t="s">
        <v>187</v>
      </c>
    </row>
    <row r="5" customFormat="false" ht="48" hidden="false" customHeight="true" outlineLevel="0" collapsed="false">
      <c r="A5" s="4" t="s">
        <v>361</v>
      </c>
      <c r="B5" s="4" t="s">
        <v>362</v>
      </c>
      <c r="C5" s="4" t="s">
        <v>363</v>
      </c>
      <c r="D5" s="4" t="s">
        <v>364</v>
      </c>
      <c r="E5" s="4" t="s">
        <v>365</v>
      </c>
    </row>
    <row r="6" customFormat="false" ht="48" hidden="false" customHeight="true" outlineLevel="0" collapsed="false">
      <c r="A6" s="5" t="s">
        <v>366</v>
      </c>
      <c r="B6" s="4" t="s">
        <v>367</v>
      </c>
      <c r="C6" s="4" t="s">
        <v>368</v>
      </c>
      <c r="D6" s="5" t="s">
        <v>369</v>
      </c>
      <c r="E6" s="4" t="s">
        <v>370</v>
      </c>
    </row>
    <row r="7" customFormat="false" ht="48" hidden="false" customHeight="true" outlineLevel="0" collapsed="false">
      <c r="A7" s="5" t="s">
        <v>371</v>
      </c>
      <c r="B7" s="4" t="s">
        <v>367</v>
      </c>
      <c r="C7" s="4" t="s">
        <v>372</v>
      </c>
      <c r="D7" s="5" t="s">
        <v>373</v>
      </c>
      <c r="E7" s="4" t="s">
        <v>374</v>
      </c>
    </row>
    <row r="8" customFormat="false" ht="48" hidden="false" customHeight="true" outlineLevel="0" collapsed="false">
      <c r="A8" s="5" t="s">
        <v>375</v>
      </c>
      <c r="B8" s="4" t="s">
        <v>362</v>
      </c>
      <c r="C8" s="5" t="s">
        <v>376</v>
      </c>
      <c r="D8" s="5" t="s">
        <v>377</v>
      </c>
      <c r="E8" s="4" t="s">
        <v>378</v>
      </c>
    </row>
    <row r="9" customFormat="false" ht="48" hidden="false" customHeight="true" outlineLevel="0" collapsed="false">
      <c r="A9" s="5" t="s">
        <v>379</v>
      </c>
      <c r="B9" s="4" t="s">
        <v>380</v>
      </c>
      <c r="C9" s="4" t="s">
        <v>381</v>
      </c>
      <c r="D9" s="4" t="s">
        <v>382</v>
      </c>
      <c r="E9" s="4" t="s">
        <v>383</v>
      </c>
    </row>
    <row r="10" customFormat="false" ht="48" hidden="false" customHeight="true" outlineLevel="0" collapsed="false">
      <c r="A10" s="4" t="s">
        <v>384</v>
      </c>
      <c r="B10" s="4" t="s">
        <v>367</v>
      </c>
      <c r="C10" s="5" t="s">
        <v>385</v>
      </c>
      <c r="D10" s="5" t="s">
        <v>386</v>
      </c>
      <c r="E10" s="4" t="s">
        <v>387</v>
      </c>
    </row>
    <row r="11" customFormat="false" ht="48" hidden="false" customHeight="true" outlineLevel="0" collapsed="false">
      <c r="A11" s="4" t="s">
        <v>388</v>
      </c>
      <c r="B11" s="4" t="s">
        <v>358</v>
      </c>
      <c r="C11" s="4" t="s">
        <v>389</v>
      </c>
      <c r="D11" s="4" t="s">
        <v>390</v>
      </c>
      <c r="E11" s="5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90.01"/>
  </cols>
  <sheetData>
    <row r="1" customFormat="false" ht="15" hidden="false" customHeight="false" outlineLevel="0" collapsed="false">
      <c r="A1" s="1" t="s">
        <v>391</v>
      </c>
    </row>
    <row r="3" customFormat="false" ht="15" hidden="false" customHeight="false" outlineLevel="0" collapsed="false">
      <c r="A3" s="2" t="s">
        <v>392</v>
      </c>
      <c r="B3" s="2" t="s">
        <v>393</v>
      </c>
    </row>
    <row r="4" customFormat="false" ht="39.75" hidden="false" customHeight="true" outlineLevel="0" collapsed="false">
      <c r="A4" s="3" t="s">
        <v>394</v>
      </c>
      <c r="B4" s="4" t="s">
        <v>395</v>
      </c>
    </row>
    <row r="5" customFormat="false" ht="39.75" hidden="false" customHeight="true" outlineLevel="0" collapsed="false">
      <c r="A5" s="3" t="s">
        <v>396</v>
      </c>
      <c r="B5" s="4" t="s">
        <v>397</v>
      </c>
    </row>
    <row r="6" customFormat="false" ht="39.75" hidden="false" customHeight="true" outlineLevel="0" collapsed="false">
      <c r="A6" s="3" t="s">
        <v>398</v>
      </c>
      <c r="B6" s="4" t="s">
        <v>399</v>
      </c>
    </row>
    <row r="7" customFormat="false" ht="39.75" hidden="false" customHeight="true" outlineLevel="0" collapsed="false">
      <c r="A7" s="3" t="s">
        <v>400</v>
      </c>
      <c r="B7" s="4" t="s">
        <v>401</v>
      </c>
    </row>
    <row r="8" customFormat="false" ht="39.75" hidden="false" customHeight="true" outlineLevel="0" collapsed="false">
      <c r="A8" s="3" t="s">
        <v>5</v>
      </c>
      <c r="B8" s="4" t="s">
        <v>402</v>
      </c>
    </row>
    <row r="9" customFormat="false" ht="39.75" hidden="false" customHeight="true" outlineLevel="0" collapsed="false">
      <c r="A9" s="3" t="s">
        <v>403</v>
      </c>
      <c r="B9" s="4" t="s">
        <v>404</v>
      </c>
    </row>
    <row r="10" customFormat="false" ht="39.75" hidden="false" customHeight="true" outlineLevel="0" collapsed="false">
      <c r="A10" s="3" t="s">
        <v>405</v>
      </c>
      <c r="B10" s="5" t="s">
        <v>406</v>
      </c>
    </row>
    <row r="11" customFormat="false" ht="39.75" hidden="false" customHeight="true" outlineLevel="0" collapsed="false">
      <c r="A11" s="3" t="s">
        <v>407</v>
      </c>
      <c r="B11" s="4" t="s">
        <v>408</v>
      </c>
    </row>
    <row r="12" customFormat="false" ht="39.75" hidden="false" customHeight="true" outlineLevel="0" collapsed="false">
      <c r="A12" s="3" t="s">
        <v>409</v>
      </c>
      <c r="B12" s="5" t="s">
        <v>410</v>
      </c>
    </row>
    <row r="13" customFormat="false" ht="39.75" hidden="false" customHeight="true" outlineLevel="0" collapsed="false">
      <c r="A13" s="3" t="s">
        <v>208</v>
      </c>
      <c r="B13" s="4" t="s">
        <v>411</v>
      </c>
    </row>
    <row r="14" customFormat="false" ht="39.75" hidden="false" customHeight="true" outlineLevel="0" collapsed="false">
      <c r="A14" s="3" t="s">
        <v>412</v>
      </c>
      <c r="B14" s="4" t="s">
        <v>413</v>
      </c>
    </row>
    <row r="15" customFormat="false" ht="39.75" hidden="false" customHeight="true" outlineLevel="0" collapsed="false">
      <c r="A15" s="3" t="s">
        <v>414</v>
      </c>
      <c r="B15" s="4" t="s">
        <v>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2026-09-19T15:45:13Z</dcterms:created>
  <dc:creator>openpyxl</dc:creator>
  <dc:description/>
  <dc:language>en-US</dc:language>
  <cp:lastModifiedBy/>
  <dcterms:modified xsi:type="dcterms:W3CDTF">2026-09-19T15:45:13Z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