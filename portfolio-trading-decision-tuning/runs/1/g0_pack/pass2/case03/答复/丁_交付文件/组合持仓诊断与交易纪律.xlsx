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账户记录" sheetId="1" state="visible" r:id="rId1"/>
    <sheet xmlns:r="http://schemas.openxmlformats.org/officeDocument/2006/relationships" name="原始持仓记录" sheetId="2" state="visible" r:id="rId2"/>
    <sheet xmlns:r="http://schemas.openxmlformats.org/officeDocument/2006/relationships" name="持仓诊断" sheetId="3" state="visible" r:id="rId3"/>
    <sheet xmlns:r="http://schemas.openxmlformats.org/officeDocument/2006/relationships" name="约束复核" sheetId="4" state="visible" r:id="rId4"/>
    <sheet xmlns:r="http://schemas.openxmlformats.org/officeDocument/2006/relationships" name="调整纪律" sheetId="5" state="visible" r:id="rId5"/>
    <sheet xmlns:r="http://schemas.openxmlformats.org/officeDocument/2006/relationships" name="口径与结论" sheetId="6" state="visible" r:id="rId6"/>
  </sheets>
  <definedNames>
    <definedName name="_xlnm._FilterDatabase" localSheetId="0" hidden="1">'原始账户记录'!$A$1:$E$15</definedName>
    <definedName name="_xlnm._FilterDatabase" localSheetId="1" hidden="1">'原始持仓记录'!$A$1:$P$10</definedName>
    <definedName name="_xlnm._FilterDatabase" localSheetId="2" hidden="1">'持仓诊断'!$A$1:$M$11</definedName>
    <definedName name="_xlnm._FilterDatabase" localSheetId="3" hidden="1">'约束复核'!$A$1:$G$9</definedName>
    <definedName name="_xlnm._FilterDatabase" localSheetId="4" hidden="1">'调整纪律'!$A$1:$P$8</definedName>
    <definedName name="_xlnm._FilterDatabase" localSheetId="5" hidden="1">'口径与结论'!$A$1:$B$6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字段</t>
        </is>
      </c>
      <c r="B1" s="1" t="inlineStr">
        <is>
          <t>数值</t>
        </is>
      </c>
      <c r="C1" s="1" t="inlineStr">
        <is>
          <t>币种或单位</t>
        </is>
      </c>
      <c r="D1" s="1" t="inlineStr">
        <is>
          <t>记录时间</t>
        </is>
      </c>
      <c r="E1" s="1" t="inlineStr">
        <is>
          <t>来源</t>
        </is>
      </c>
    </row>
    <row r="2">
      <c r="A2" s="2" t="inlineStr">
        <is>
          <t>证券市值小计</t>
        </is>
      </c>
      <c r="B2" s="2" t="n">
        <v>869820</v>
      </c>
      <c r="C2" s="2" t="inlineStr">
        <is>
          <t>人民币元</t>
        </is>
      </c>
      <c r="D2" s="2" t="inlineStr">
        <is>
          <t>2026-08-14 15:05</t>
        </is>
      </c>
      <c r="E2" s="2" t="inlineStr">
        <is>
          <t>托管系统</t>
        </is>
      </c>
    </row>
    <row r="3">
      <c r="A3" s="2" t="inlineStr">
        <is>
          <t>人民币可用现金</t>
        </is>
      </c>
      <c r="B3" s="2" t="n">
        <v>142500</v>
      </c>
      <c r="C3" s="2" t="inlineStr">
        <is>
          <t>人民币元</t>
        </is>
      </c>
      <c r="D3" s="2" t="inlineStr">
        <is>
          <t>2026-08-14 15:05</t>
        </is>
      </c>
      <c r="E3" s="2" t="inlineStr">
        <is>
          <t>资金系统</t>
        </is>
      </c>
    </row>
    <row r="4">
      <c r="A4" s="2" t="inlineStr">
        <is>
          <t>美元现金</t>
        </is>
      </c>
      <c r="B4" s="2" t="n">
        <v>3000</v>
      </c>
      <c r="C4" s="2" t="inlineStr">
        <is>
          <t>美元</t>
        </is>
      </c>
      <c r="D4" s="2" t="inlineStr">
        <is>
          <t>2026-08-14 15:05</t>
        </is>
      </c>
      <c r="E4" s="2" t="inlineStr">
        <is>
          <t>资金系统</t>
        </is>
      </c>
    </row>
    <row r="5">
      <c r="A5" s="2" t="inlineStr">
        <is>
          <t>美元兑人民币折算汇率</t>
        </is>
      </c>
      <c r="B5" s="2" t="n">
        <v>7.18</v>
      </c>
      <c r="C5" s="2" t="inlineStr">
        <is>
          <t>人民币/美元</t>
        </is>
      </c>
      <c r="D5" s="2" t="inlineStr">
        <is>
          <t>2026-08-14 15:00</t>
        </is>
      </c>
      <c r="E5" s="2" t="inlineStr">
        <is>
          <t>内部估值表</t>
        </is>
      </c>
    </row>
    <row r="6">
      <c r="A6" s="2" t="inlineStr">
        <is>
          <t>待扣费用</t>
        </is>
      </c>
      <c r="B6" s="2" t="n">
        <v>1200</v>
      </c>
      <c r="C6" s="2" t="inlineStr">
        <is>
          <t>人民币元</t>
        </is>
      </c>
      <c r="D6" s="2" t="inlineStr">
        <is>
          <t>2026-08-14 15:05</t>
        </is>
      </c>
      <c r="E6" s="2" t="inlineStr">
        <is>
          <t>托管系统</t>
        </is>
      </c>
    </row>
    <row r="7">
      <c r="A7" s="2" t="inlineStr">
        <is>
          <t>账户总资产记录</t>
        </is>
      </c>
      <c r="B7" s="2" t="n">
        <v>1032660</v>
      </c>
      <c r="C7" s="2" t="inlineStr">
        <is>
          <t>人民币元</t>
        </is>
      </c>
      <c r="D7" s="2" t="inlineStr">
        <is>
          <t>2026-08-14 15:05</t>
        </is>
      </c>
      <c r="E7" s="2" t="inlineStr">
        <is>
          <t>托管系统</t>
        </is>
      </c>
    </row>
    <row r="8">
      <c r="A8" s="2" t="inlineStr">
        <is>
          <t>组合经理手工记录总资产</t>
        </is>
      </c>
      <c r="B8" s="2" t="n">
        <v>1029000</v>
      </c>
      <c r="C8" s="2" t="inlineStr">
        <is>
          <t>人民币元</t>
        </is>
      </c>
      <c r="D8" s="2" t="inlineStr">
        <is>
          <t>2026-08-14 15:10</t>
        </is>
      </c>
      <c r="E8" s="2" t="inlineStr">
        <is>
          <t>组合工作表</t>
        </is>
      </c>
    </row>
    <row r="9">
      <c r="A9" s="2" t="inlineStr">
        <is>
          <t>本周计划净流出</t>
        </is>
      </c>
      <c r="B9" s="2" t="n">
        <v>50000</v>
      </c>
      <c r="C9" s="2" t="inlineStr">
        <is>
          <t>人民币元</t>
        </is>
      </c>
      <c r="D9" s="2" t="inlineStr">
        <is>
          <t>2026-08-17</t>
        </is>
      </c>
      <c r="E9" s="2" t="inlineStr">
        <is>
          <t>客户已确认</t>
        </is>
      </c>
    </row>
    <row r="10">
      <c r="A10" s="2" t="n"/>
      <c r="B10" s="2" t="n"/>
      <c r="C10" s="2" t="n"/>
      <c r="D10" s="2" t="n"/>
      <c r="E10" s="2" t="n"/>
    </row>
    <row r="11">
      <c r="A11" s="2" t="inlineStr">
        <is>
          <t>核对项目</t>
        </is>
      </c>
      <c r="B11" s="2" t="inlineStr">
        <is>
          <t>公式/数值</t>
        </is>
      </c>
      <c r="C11" s="2" t="inlineStr">
        <is>
          <t>结论</t>
        </is>
      </c>
      <c r="D11" s="2" t="n"/>
      <c r="E11" s="2" t="n"/>
    </row>
    <row r="12">
      <c r="A12" s="2" t="inlineStr">
        <is>
          <t>明细净资产</t>
        </is>
      </c>
      <c r="B12" s="2">
        <f>B2+B3+B4*B5-B6</f>
        <v/>
      </c>
      <c r="C12" s="2" t="inlineStr">
        <is>
          <t>证券市值+人民币现金+美元折算-待扣费</t>
        </is>
      </c>
      <c r="D12" s="2" t="n"/>
      <c r="E12" s="2" t="n"/>
    </row>
    <row r="13">
      <c r="A13" s="2" t="inlineStr">
        <is>
          <t>与托管总资产差额</t>
        </is>
      </c>
      <c r="B13" s="2">
        <f>B11-B7</f>
        <v/>
      </c>
      <c r="C13" s="2" t="inlineStr">
        <is>
          <t>应为0，托管记录可与明细勾稽</t>
        </is>
      </c>
      <c r="D13" s="2" t="n"/>
      <c r="E13" s="2" t="n"/>
    </row>
    <row r="14">
      <c r="A14" s="2" t="inlineStr">
        <is>
          <t>与经理手工记录差额</t>
        </is>
      </c>
      <c r="B14" s="2">
        <f>B11-B8</f>
        <v/>
      </c>
      <c r="C14" s="2" t="inlineStr">
        <is>
          <t>3,660元，来源附件未解释；不得静默择一或补造资产</t>
        </is>
      </c>
      <c r="D14" s="2" t="n"/>
      <c r="E14" s="2" t="n"/>
    </row>
    <row r="15">
      <c r="A15" s="2" t="inlineStr">
        <is>
          <t>采用口径</t>
        </is>
      </c>
      <c r="B15" s="2">
        <f>B11</f>
        <v/>
      </c>
      <c r="C15" s="2" t="inlineStr">
        <is>
          <t>客观测算以可勾稽明细/托管1,032,660元为主，同时披露手工口径1,029,000元及指标区间</t>
        </is>
      </c>
      <c r="D15" s="2" t="n"/>
      <c r="E15" s="2" t="n"/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5" customWidth="1" min="16" max="16"/>
  </cols>
  <sheetData>
    <row r="1">
      <c r="A1" s="1" t="inlineStr">
        <is>
          <t>证券ID</t>
        </is>
      </c>
      <c r="B1" s="1" t="inlineStr">
        <is>
          <t>证券类型</t>
        </is>
      </c>
      <c r="C1" s="1" t="inlineStr">
        <is>
          <t>行业或主题</t>
        </is>
      </c>
      <c r="D1" s="1" t="inlineStr">
        <is>
          <t>批次日期</t>
        </is>
      </c>
      <c r="E1" s="1" t="inlineStr">
        <is>
          <t>数量</t>
        </is>
      </c>
      <c r="F1" s="1" t="inlineStr">
        <is>
          <t>单位成本</t>
        </is>
      </c>
      <c r="G1" s="1" t="inlineStr">
        <is>
          <t>成本币种</t>
        </is>
      </c>
      <c r="H1" s="1" t="inlineStr">
        <is>
          <t>是否当日买入</t>
        </is>
      </c>
      <c r="I1" s="1" t="inlineStr">
        <is>
          <t>当前价格</t>
        </is>
      </c>
      <c r="J1" s="1" t="inlineStr">
        <is>
          <t>价格币种</t>
        </is>
      </c>
      <c r="K1" s="1" t="inlineStr">
        <is>
          <t>可卖数量</t>
        </is>
      </c>
      <c r="L1" s="1" t="inlineStr">
        <is>
          <t>交易状态</t>
        </is>
      </c>
      <c r="M1" s="1" t="inlineStr">
        <is>
          <t>涨跌停状态</t>
        </is>
      </c>
      <c r="N1" s="1" t="inlineStr">
        <is>
          <t>最小交易单位</t>
        </is>
      </c>
      <c r="O1" s="1" t="inlineStr">
        <is>
          <t>ADV20万元</t>
        </is>
      </c>
      <c r="P1" s="1" t="inlineStr">
        <is>
          <t>备注</t>
        </is>
      </c>
    </row>
    <row r="2">
      <c r="A2" s="2" t="inlineStr">
        <is>
          <t>P01</t>
        </is>
      </c>
      <c r="B2" s="2" t="inlineStr">
        <is>
          <t>A股</t>
        </is>
      </c>
      <c r="C2" s="2" t="inlineStr">
        <is>
          <t>电子</t>
        </is>
      </c>
      <c r="D2" s="2" t="inlineStr">
        <is>
          <t>2026-05-10</t>
        </is>
      </c>
      <c r="E2" s="2" t="n">
        <v>2500</v>
      </c>
      <c r="F2" s="2" t="n">
        <v>43.2</v>
      </c>
      <c r="G2" s="2" t="inlineStr">
        <is>
          <t>人民币</t>
        </is>
      </c>
      <c r="H2" s="2" t="inlineStr">
        <is>
          <t>否</t>
        </is>
      </c>
      <c r="I2" s="2" t="n">
        <v>32.8</v>
      </c>
      <c r="J2" s="2" t="inlineStr">
        <is>
          <t>人民币</t>
        </is>
      </c>
      <c r="K2" s="2" t="n">
        <v>2500</v>
      </c>
      <c r="L2" s="2" t="inlineStr">
        <is>
          <t>正常</t>
        </is>
      </c>
      <c r="M2" s="2" t="inlineStr">
        <is>
          <t>无</t>
        </is>
      </c>
      <c r="N2" s="2" t="n">
        <v>100</v>
      </c>
      <c r="O2" s="2" t="n">
        <v>8600</v>
      </c>
      <c r="P2" s="2" t="inlineStr"/>
    </row>
    <row r="3">
      <c r="A3" s="2" t="inlineStr">
        <is>
          <t>P01</t>
        </is>
      </c>
      <c r="B3" s="2" t="inlineStr">
        <is>
          <t>A股</t>
        </is>
      </c>
      <c r="C3" s="2" t="inlineStr">
        <is>
          <t>电子</t>
        </is>
      </c>
      <c r="D3" s="2" t="inlineStr">
        <is>
          <t>2026-07-02</t>
        </is>
      </c>
      <c r="E3" s="2" t="n">
        <v>1500</v>
      </c>
      <c r="F3" s="2" t="n">
        <v>37.5</v>
      </c>
      <c r="G3" s="2" t="inlineStr">
        <is>
          <t>人民币</t>
        </is>
      </c>
      <c r="H3" s="2" t="inlineStr">
        <is>
          <t>否</t>
        </is>
      </c>
      <c r="I3" s="2" t="n">
        <v>32.8</v>
      </c>
      <c r="J3" s="2" t="inlineStr">
        <is>
          <t>人民币</t>
        </is>
      </c>
      <c r="K3" s="2" t="n">
        <v>1500</v>
      </c>
      <c r="L3" s="2" t="inlineStr">
        <is>
          <t>正常</t>
        </is>
      </c>
      <c r="M3" s="2" t="inlineStr">
        <is>
          <t>无</t>
        </is>
      </c>
      <c r="N3" s="2" t="n">
        <v>100</v>
      </c>
      <c r="O3" s="2" t="n">
        <v>8600</v>
      </c>
      <c r="P3" s="2" t="inlineStr"/>
    </row>
    <row r="4">
      <c r="A4" s="2" t="inlineStr">
        <is>
          <t>P01</t>
        </is>
      </c>
      <c r="B4" s="2" t="inlineStr">
        <is>
          <t>A股</t>
        </is>
      </c>
      <c r="C4" s="2" t="inlineStr">
        <is>
          <t>电子</t>
        </is>
      </c>
      <c r="D4" s="2" t="inlineStr">
        <is>
          <t>2026-08-14</t>
        </is>
      </c>
      <c r="E4" s="2" t="n">
        <v>1000</v>
      </c>
      <c r="F4" s="2" t="n">
        <v>31.9</v>
      </c>
      <c r="G4" s="2" t="inlineStr">
        <is>
          <t>人民币</t>
        </is>
      </c>
      <c r="H4" s="2" t="inlineStr">
        <is>
          <t>是</t>
        </is>
      </c>
      <c r="I4" s="2" t="n">
        <v>32.8</v>
      </c>
      <c r="J4" s="2" t="inlineStr">
        <is>
          <t>人民币</t>
        </is>
      </c>
      <c r="K4" s="2" t="n">
        <v>0</v>
      </c>
      <c r="L4" s="2" t="inlineStr">
        <is>
          <t>正常</t>
        </is>
      </c>
      <c r="M4" s="2" t="inlineStr">
        <is>
          <t>无</t>
        </is>
      </c>
      <c r="N4" s="2" t="n">
        <v>100</v>
      </c>
      <c r="O4" s="2" t="n">
        <v>8600</v>
      </c>
      <c r="P4" s="2" t="inlineStr">
        <is>
          <t>T+1不可卖</t>
        </is>
      </c>
    </row>
    <row r="5">
      <c r="A5" s="2" t="inlineStr">
        <is>
          <t>P02</t>
        </is>
      </c>
      <c r="B5" s="2" t="inlineStr">
        <is>
          <t>A股</t>
        </is>
      </c>
      <c r="C5" s="2" t="inlineStr">
        <is>
          <t>计算机</t>
        </is>
      </c>
      <c r="D5" s="2" t="inlineStr">
        <is>
          <t>2026-03-18</t>
        </is>
      </c>
      <c r="E5" s="2" t="n">
        <v>3000</v>
      </c>
      <c r="F5" s="2" t="n">
        <v>54.2</v>
      </c>
      <c r="G5" s="2" t="inlineStr">
        <is>
          <t>人民币</t>
        </is>
      </c>
      <c r="H5" s="2" t="inlineStr">
        <is>
          <t>否</t>
        </is>
      </c>
      <c r="I5" s="2" t="n">
        <v>58.4</v>
      </c>
      <c r="J5" s="2" t="inlineStr">
        <is>
          <t>人民币</t>
        </is>
      </c>
      <c r="K5" s="2" t="n">
        <v>3000</v>
      </c>
      <c r="L5" s="2" t="inlineStr">
        <is>
          <t>正常</t>
        </is>
      </c>
      <c r="M5" s="2" t="inlineStr">
        <is>
          <t>跌停</t>
        </is>
      </c>
      <c r="N5" s="2" t="n">
        <v>100</v>
      </c>
      <c r="O5" s="2" t="n">
        <v>2100</v>
      </c>
      <c r="P5" s="2" t="inlineStr">
        <is>
          <t>收盘封单，次日成交不确定</t>
        </is>
      </c>
    </row>
    <row r="6">
      <c r="A6" s="2" t="inlineStr">
        <is>
          <t>P03</t>
        </is>
      </c>
      <c r="B6" s="2" t="inlineStr">
        <is>
          <t>A股</t>
        </is>
      </c>
      <c r="C6" s="2" t="inlineStr">
        <is>
          <t>医药</t>
        </is>
      </c>
      <c r="D6" s="2" t="inlineStr">
        <is>
          <t>2026-04-11</t>
        </is>
      </c>
      <c r="E6" s="2" t="n">
        <v>8000</v>
      </c>
      <c r="F6" s="2" t="n">
        <v>10.3</v>
      </c>
      <c r="G6" s="2" t="inlineStr">
        <is>
          <t>人民币</t>
        </is>
      </c>
      <c r="H6" s="2" t="inlineStr">
        <is>
          <t>否</t>
        </is>
      </c>
      <c r="I6" s="2" t="n">
        <v>9.619999999999999</v>
      </c>
      <c r="J6" s="2" t="inlineStr">
        <is>
          <t>人民币</t>
        </is>
      </c>
      <c r="K6" s="2" t="n">
        <v>8000</v>
      </c>
      <c r="L6" s="2" t="inlineStr">
        <is>
          <t>正常</t>
        </is>
      </c>
      <c r="M6" s="2" t="inlineStr">
        <is>
          <t>无</t>
        </is>
      </c>
      <c r="N6" s="2" t="n">
        <v>100</v>
      </c>
      <c r="O6" s="2" t="n">
        <v>4700</v>
      </c>
      <c r="P6" s="2" t="inlineStr"/>
    </row>
    <row r="7">
      <c r="A7" s="2" t="inlineStr">
        <is>
          <t>P04</t>
        </is>
      </c>
      <c r="B7" s="2" t="inlineStr">
        <is>
          <t>A股</t>
        </is>
      </c>
      <c r="C7" s="2" t="inlineStr">
        <is>
          <t>工业</t>
        </is>
      </c>
      <c r="D7" s="2" t="inlineStr">
        <is>
          <t>2026-01-20</t>
        </is>
      </c>
      <c r="E7" s="2" t="n">
        <v>6000</v>
      </c>
      <c r="F7" s="2" t="n">
        <v>11.9</v>
      </c>
      <c r="G7" s="2" t="inlineStr">
        <is>
          <t>人民币</t>
        </is>
      </c>
      <c r="H7" s="2" t="inlineStr">
        <is>
          <t>否</t>
        </is>
      </c>
      <c r="I7" s="2" t="n">
        <v>12.35</v>
      </c>
      <c r="J7" s="2" t="inlineStr">
        <is>
          <t>人民币</t>
        </is>
      </c>
      <c r="K7" s="2" t="n">
        <v>0</v>
      </c>
      <c r="L7" s="2" t="inlineStr">
        <is>
          <t>停牌</t>
        </is>
      </c>
      <c r="M7" s="2" t="inlineStr">
        <is>
          <t>不适用</t>
        </is>
      </c>
      <c r="N7" s="2" t="n">
        <v>100</v>
      </c>
      <c r="O7" s="2" t="n">
        <v>900</v>
      </c>
      <c r="P7" s="2" t="inlineStr">
        <is>
          <t>价格为8/13，复牌日未知</t>
        </is>
      </c>
    </row>
    <row r="8">
      <c r="A8" s="2" t="inlineStr">
        <is>
          <t>P05</t>
        </is>
      </c>
      <c r="B8" s="2" t="inlineStr">
        <is>
          <t>A股</t>
        </is>
      </c>
      <c r="C8" s="2" t="inlineStr">
        <is>
          <t>计算机</t>
        </is>
      </c>
      <c r="D8" s="2" t="inlineStr">
        <is>
          <t>2025-12-05</t>
        </is>
      </c>
      <c r="E8" s="2" t="n">
        <v>2000</v>
      </c>
      <c r="F8" s="2" t="n">
        <v>82.40000000000001</v>
      </c>
      <c r="G8" s="2" t="inlineStr">
        <is>
          <t>人民币</t>
        </is>
      </c>
      <c r="H8" s="2" t="inlineStr">
        <is>
          <t>否</t>
        </is>
      </c>
      <c r="I8" s="2" t="n">
        <v>105</v>
      </c>
      <c r="J8" s="2" t="inlineStr">
        <is>
          <t>人民币</t>
        </is>
      </c>
      <c r="K8" s="2" t="n">
        <v>2000</v>
      </c>
      <c r="L8" s="2" t="inlineStr">
        <is>
          <t>正常</t>
        </is>
      </c>
      <c r="M8" s="2" t="inlineStr">
        <is>
          <t>无</t>
        </is>
      </c>
      <c r="N8" s="2" t="n">
        <v>100</v>
      </c>
      <c r="O8" s="2" t="n">
        <v>12800</v>
      </c>
      <c r="P8" s="2" t="inlineStr">
        <is>
          <t>经理看好意见未获风险例外</t>
        </is>
      </c>
    </row>
    <row r="9">
      <c r="A9" s="2" t="inlineStr">
        <is>
          <t>P06</t>
        </is>
      </c>
      <c r="B9" s="2" t="inlineStr">
        <is>
          <t>境内ETF</t>
        </is>
      </c>
      <c r="C9" s="2" t="inlineStr">
        <is>
          <t>红利</t>
        </is>
      </c>
      <c r="D9" s="2" t="inlineStr">
        <is>
          <t>2026-02-06</t>
        </is>
      </c>
      <c r="E9" s="2" t="n">
        <v>10000</v>
      </c>
      <c r="F9" s="2" t="n">
        <v>3.1</v>
      </c>
      <c r="G9" s="2" t="inlineStr">
        <is>
          <t>人民币</t>
        </is>
      </c>
      <c r="H9" s="2" t="inlineStr">
        <is>
          <t>否</t>
        </is>
      </c>
      <c r="I9" s="2" t="n">
        <v>2.88</v>
      </c>
      <c r="J9" s="2" t="inlineStr">
        <is>
          <t>人民币</t>
        </is>
      </c>
      <c r="K9" s="2" t="n">
        <v>10000</v>
      </c>
      <c r="L9" s="2" t="inlineStr">
        <is>
          <t>正常</t>
        </is>
      </c>
      <c r="M9" s="2" t="inlineStr">
        <is>
          <t>无</t>
        </is>
      </c>
      <c r="N9" s="2" t="n">
        <v>100</v>
      </c>
      <c r="O9" s="2" t="n">
        <v>56000</v>
      </c>
      <c r="P9" s="2" t="inlineStr">
        <is>
          <t>8/12每份现金分配0.80元；用调整后参考价</t>
        </is>
      </c>
    </row>
    <row r="10">
      <c r="A10" s="2" t="inlineStr">
        <is>
          <t>P07</t>
        </is>
      </c>
      <c r="B10" s="2" t="inlineStr">
        <is>
          <t>港股ETF</t>
        </is>
      </c>
      <c r="C10" s="2" t="inlineStr">
        <is>
          <t>海外科技</t>
        </is>
      </c>
      <c r="D10" s="2" t="inlineStr">
        <is>
          <t>2026-06-16</t>
        </is>
      </c>
      <c r="E10" s="2" t="n">
        <v>10000</v>
      </c>
      <c r="F10" s="2" t="n">
        <v>16.4</v>
      </c>
      <c r="G10" s="2" t="inlineStr">
        <is>
          <t>港币</t>
        </is>
      </c>
      <c r="H10" s="2" t="inlineStr">
        <is>
          <t>否</t>
        </is>
      </c>
      <c r="I10" s="2" t="n">
        <v>15.3</v>
      </c>
      <c r="J10" s="2" t="inlineStr">
        <is>
          <t>港币</t>
        </is>
      </c>
      <c r="K10" s="2" t="n">
        <v>10000</v>
      </c>
      <c r="L10" s="2" t="inlineStr">
        <is>
          <t>正常</t>
        </is>
      </c>
      <c r="M10" s="2" t="inlineStr">
        <is>
          <t>无</t>
        </is>
      </c>
      <c r="N10" s="2" t="n">
        <v>500</v>
      </c>
      <c r="O10" s="2" t="n">
        <v>12500</v>
      </c>
      <c r="P10" s="2" t="inlineStr">
        <is>
          <t>估值汇率0.92人民币/港币</t>
        </is>
      </c>
    </row>
  </sheetData>
  <autoFilter ref="A1:P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证券ID</t>
        </is>
      </c>
      <c r="B1" s="1" t="inlineStr">
        <is>
          <t>批次日期</t>
        </is>
      </c>
      <c r="C1" s="1" t="inlineStr">
        <is>
          <t>数量</t>
        </is>
      </c>
      <c r="D1" s="1" t="inlineStr">
        <is>
          <t>可卖数量</t>
        </is>
      </c>
      <c r="E1" s="1" t="inlineStr">
        <is>
          <t>成本人民币</t>
        </is>
      </c>
      <c r="F1" s="1" t="inlineStr">
        <is>
          <t>市值人民币</t>
        </is>
      </c>
      <c r="G1" s="1" t="inlineStr">
        <is>
          <t>浮动盈亏</t>
        </is>
      </c>
      <c r="H1" s="1" t="inlineStr">
        <is>
          <t>主NAV权重</t>
        </is>
      </c>
      <c r="I1" s="1" t="inlineStr">
        <is>
          <t>手工NAV权重</t>
        </is>
      </c>
      <c r="J1" s="1" t="inlineStr">
        <is>
          <t>行业/主题</t>
        </is>
      </c>
      <c r="K1" s="1" t="inlineStr">
        <is>
          <t>风险等级</t>
        </is>
      </c>
      <c r="L1" s="1" t="inlineStr">
        <is>
          <t>外币暴露人民币</t>
        </is>
      </c>
      <c r="M1" s="1" t="inlineStr">
        <is>
          <t>状态说明</t>
        </is>
      </c>
    </row>
    <row r="2">
      <c r="A2" s="2" t="inlineStr">
        <is>
          <t>P01</t>
        </is>
      </c>
      <c r="B2" s="2" t="inlineStr">
        <is>
          <t>2026-05-10</t>
        </is>
      </c>
      <c r="C2" s="2" t="n">
        <v>2500</v>
      </c>
      <c r="D2" s="2" t="n">
        <v>2500</v>
      </c>
      <c r="E2" s="3">
        <f>'原始持仓记录'!E2*'原始持仓记录'!F2*1</f>
        <v/>
      </c>
      <c r="F2" s="3">
        <f>'原始持仓记录'!E2*'原始持仓记录'!I2*1</f>
        <v/>
      </c>
      <c r="G2" s="3">
        <f>F2-E2</f>
        <v/>
      </c>
      <c r="H2" s="4">
        <f>F2/'原始账户记录'!$B$14</f>
        <v/>
      </c>
      <c r="I2" s="4">
        <f>F2/'原始账户记录'!$B$8</f>
        <v/>
      </c>
      <c r="J2" s="2" t="inlineStr">
        <is>
          <t>科技</t>
        </is>
      </c>
      <c r="K2" s="2" t="inlineStr">
        <is>
          <t>高</t>
        </is>
      </c>
      <c r="L2" s="3">
        <f>IF(A2="P07",F2,0)</f>
        <v/>
      </c>
      <c r="M2" s="2" t="inlineStr"/>
    </row>
    <row r="3">
      <c r="A3" s="2" t="inlineStr">
        <is>
          <t>P01</t>
        </is>
      </c>
      <c r="B3" s="2" t="inlineStr">
        <is>
          <t>2026-07-02</t>
        </is>
      </c>
      <c r="C3" s="2" t="n">
        <v>1500</v>
      </c>
      <c r="D3" s="2" t="n">
        <v>1500</v>
      </c>
      <c r="E3" s="3">
        <f>'原始持仓记录'!E3*'原始持仓记录'!F3*1</f>
        <v/>
      </c>
      <c r="F3" s="3">
        <f>'原始持仓记录'!E3*'原始持仓记录'!I3*1</f>
        <v/>
      </c>
      <c r="G3" s="3">
        <f>F3-E3</f>
        <v/>
      </c>
      <c r="H3" s="4">
        <f>F3/'原始账户记录'!$B$14</f>
        <v/>
      </c>
      <c r="I3" s="4">
        <f>F3/'原始账户记录'!$B$8</f>
        <v/>
      </c>
      <c r="J3" s="2" t="inlineStr">
        <is>
          <t>科技</t>
        </is>
      </c>
      <c r="K3" s="2" t="inlineStr">
        <is>
          <t>高</t>
        </is>
      </c>
      <c r="L3" s="3">
        <f>IF(A3="P07",F3,0)</f>
        <v/>
      </c>
      <c r="M3" s="2" t="inlineStr"/>
    </row>
    <row r="4">
      <c r="A4" s="2" t="inlineStr">
        <is>
          <t>P01</t>
        </is>
      </c>
      <c r="B4" s="2" t="inlineStr">
        <is>
          <t>2026-08-14</t>
        </is>
      </c>
      <c r="C4" s="2" t="n">
        <v>1000</v>
      </c>
      <c r="D4" s="2" t="n">
        <v>0</v>
      </c>
      <c r="E4" s="3">
        <f>'原始持仓记录'!E4*'原始持仓记录'!F4*1</f>
        <v/>
      </c>
      <c r="F4" s="3">
        <f>'原始持仓记录'!E4*'原始持仓记录'!I4*1</f>
        <v/>
      </c>
      <c r="G4" s="3">
        <f>F4-E4</f>
        <v/>
      </c>
      <c r="H4" s="4">
        <f>F4/'原始账户记录'!$B$14</f>
        <v/>
      </c>
      <c r="I4" s="4">
        <f>F4/'原始账户记录'!$B$8</f>
        <v/>
      </c>
      <c r="J4" s="2" t="inlineStr">
        <is>
          <t>科技</t>
        </is>
      </c>
      <c r="K4" s="2" t="inlineStr">
        <is>
          <t>高</t>
        </is>
      </c>
      <c r="L4" s="3">
        <f>IF(A4="P07",F4,0)</f>
        <v/>
      </c>
      <c r="M4" s="2" t="inlineStr">
        <is>
          <t>T+1不可卖</t>
        </is>
      </c>
    </row>
    <row r="5">
      <c r="A5" s="2" t="inlineStr">
        <is>
          <t>P02</t>
        </is>
      </c>
      <c r="B5" s="2" t="inlineStr">
        <is>
          <t>2026-03-18</t>
        </is>
      </c>
      <c r="C5" s="2" t="n">
        <v>3000</v>
      </c>
      <c r="D5" s="2" t="n">
        <v>3000</v>
      </c>
      <c r="E5" s="3">
        <f>'原始持仓记录'!E5*'原始持仓记录'!F5*1</f>
        <v/>
      </c>
      <c r="F5" s="3">
        <f>'原始持仓记录'!E5*'原始持仓记录'!I5*1</f>
        <v/>
      </c>
      <c r="G5" s="3">
        <f>F5-E5</f>
        <v/>
      </c>
      <c r="H5" s="4">
        <f>F5/'原始账户记录'!$B$14</f>
        <v/>
      </c>
      <c r="I5" s="4">
        <f>F5/'原始账户记录'!$B$8</f>
        <v/>
      </c>
      <c r="J5" s="2" t="inlineStr">
        <is>
          <t>科技</t>
        </is>
      </c>
      <c r="K5" s="2" t="inlineStr">
        <is>
          <t>高</t>
        </is>
      </c>
      <c r="L5" s="3">
        <f>IF(A5="P07",F5,0)</f>
        <v/>
      </c>
      <c r="M5" s="2" t="inlineStr">
        <is>
          <t>收盘封单，次日成交不确定</t>
        </is>
      </c>
    </row>
    <row r="6">
      <c r="A6" s="2" t="inlineStr">
        <is>
          <t>P03</t>
        </is>
      </c>
      <c r="B6" s="2" t="inlineStr">
        <is>
          <t>2026-04-11</t>
        </is>
      </c>
      <c r="C6" s="2" t="n">
        <v>8000</v>
      </c>
      <c r="D6" s="2" t="n">
        <v>8000</v>
      </c>
      <c r="E6" s="3">
        <f>'原始持仓记录'!E6*'原始持仓记录'!F6*1</f>
        <v/>
      </c>
      <c r="F6" s="3">
        <f>'原始持仓记录'!E6*'原始持仓记录'!I6*1</f>
        <v/>
      </c>
      <c r="G6" s="3">
        <f>F6-E6</f>
        <v/>
      </c>
      <c r="H6" s="4">
        <f>F6/'原始账户记录'!$B$14</f>
        <v/>
      </c>
      <c r="I6" s="4">
        <f>F6/'原始账户记录'!$B$8</f>
        <v/>
      </c>
      <c r="J6" s="2" t="inlineStr">
        <is>
          <t>医药</t>
        </is>
      </c>
      <c r="K6" s="2" t="inlineStr">
        <is>
          <t>中</t>
        </is>
      </c>
      <c r="L6" s="3">
        <f>IF(A6="P07",F6,0)</f>
        <v/>
      </c>
      <c r="M6" s="2" t="inlineStr"/>
    </row>
    <row r="7">
      <c r="A7" s="2" t="inlineStr">
        <is>
          <t>P04</t>
        </is>
      </c>
      <c r="B7" s="2" t="inlineStr">
        <is>
          <t>2026-01-20</t>
        </is>
      </c>
      <c r="C7" s="2" t="n">
        <v>6000</v>
      </c>
      <c r="D7" s="2" t="n">
        <v>0</v>
      </c>
      <c r="E7" s="3">
        <f>'原始持仓记录'!E7*'原始持仓记录'!F7*1</f>
        <v/>
      </c>
      <c r="F7" s="3">
        <f>'原始持仓记录'!E7*'原始持仓记录'!I7*1</f>
        <v/>
      </c>
      <c r="G7" s="3">
        <f>F7-E7</f>
        <v/>
      </c>
      <c r="H7" s="4">
        <f>F7/'原始账户记录'!$B$14</f>
        <v/>
      </c>
      <c r="I7" s="4">
        <f>F7/'原始账户记录'!$B$8</f>
        <v/>
      </c>
      <c r="J7" s="2" t="inlineStr">
        <is>
          <t>工业</t>
        </is>
      </c>
      <c r="K7" s="2" t="inlineStr">
        <is>
          <t>中</t>
        </is>
      </c>
      <c r="L7" s="3">
        <f>IF(A7="P07",F7,0)</f>
        <v/>
      </c>
      <c r="M7" s="2" t="inlineStr">
        <is>
          <t>价格为8/13，复牌日未知</t>
        </is>
      </c>
    </row>
    <row r="8">
      <c r="A8" s="2" t="inlineStr">
        <is>
          <t>P05</t>
        </is>
      </c>
      <c r="B8" s="2" t="inlineStr">
        <is>
          <t>2025-12-05</t>
        </is>
      </c>
      <c r="C8" s="2" t="n">
        <v>2000</v>
      </c>
      <c r="D8" s="2" t="n">
        <v>2000</v>
      </c>
      <c r="E8" s="3">
        <f>'原始持仓记录'!E8*'原始持仓记录'!F8*1</f>
        <v/>
      </c>
      <c r="F8" s="3">
        <f>'原始持仓记录'!E8*'原始持仓记录'!I8*1</f>
        <v/>
      </c>
      <c r="G8" s="3">
        <f>F8-E8</f>
        <v/>
      </c>
      <c r="H8" s="4">
        <f>F8/'原始账户记录'!$B$14</f>
        <v/>
      </c>
      <c r="I8" s="4">
        <f>F8/'原始账户记录'!$B$8</f>
        <v/>
      </c>
      <c r="J8" s="2" t="inlineStr">
        <is>
          <t>科技</t>
        </is>
      </c>
      <c r="K8" s="2" t="inlineStr">
        <is>
          <t>高</t>
        </is>
      </c>
      <c r="L8" s="3">
        <f>IF(A8="P07",F8,0)</f>
        <v/>
      </c>
      <c r="M8" s="2" t="inlineStr">
        <is>
          <t>经理看好意见未获风险例外</t>
        </is>
      </c>
    </row>
    <row r="9">
      <c r="A9" s="2" t="inlineStr">
        <is>
          <t>P06</t>
        </is>
      </c>
      <c r="B9" s="2" t="inlineStr">
        <is>
          <t>2026-02-06</t>
        </is>
      </c>
      <c r="C9" s="2" t="n">
        <v>10000</v>
      </c>
      <c r="D9" s="2" t="n">
        <v>10000</v>
      </c>
      <c r="E9" s="3">
        <f>'原始持仓记录'!E9*'原始持仓记录'!F9*1</f>
        <v/>
      </c>
      <c r="F9" s="3">
        <f>'原始持仓记录'!E9*'原始持仓记录'!I9*1</f>
        <v/>
      </c>
      <c r="G9" s="3">
        <f>F9-E9</f>
        <v/>
      </c>
      <c r="H9" s="4">
        <f>F9/'原始账户记录'!$B$14</f>
        <v/>
      </c>
      <c r="I9" s="4">
        <f>F9/'原始账户记录'!$B$8</f>
        <v/>
      </c>
      <c r="J9" s="2" t="inlineStr">
        <is>
          <t>红利</t>
        </is>
      </c>
      <c r="K9" s="2" t="inlineStr">
        <is>
          <t>低</t>
        </is>
      </c>
      <c r="L9" s="3">
        <f>IF(A9="P07",F9,0)</f>
        <v/>
      </c>
      <c r="M9" s="2" t="inlineStr">
        <is>
          <t>8/12每份现金分配0.80元；用调整后参考价</t>
        </is>
      </c>
    </row>
    <row r="10">
      <c r="A10" s="2" t="inlineStr">
        <is>
          <t>P07</t>
        </is>
      </c>
      <c r="B10" s="2" t="inlineStr">
        <is>
          <t>2026-06-16</t>
        </is>
      </c>
      <c r="C10" s="2" t="n">
        <v>10000</v>
      </c>
      <c r="D10" s="2" t="n">
        <v>10000</v>
      </c>
      <c r="E10" s="3">
        <f>'原始持仓记录'!E10*'原始持仓记录'!F10*0.92</f>
        <v/>
      </c>
      <c r="F10" s="3">
        <f>'原始持仓记录'!E10*'原始持仓记录'!I10*0.92</f>
        <v/>
      </c>
      <c r="G10" s="3">
        <f>F10-E10</f>
        <v/>
      </c>
      <c r="H10" s="4">
        <f>F10/'原始账户记录'!$B$14</f>
        <v/>
      </c>
      <c r="I10" s="4">
        <f>F10/'原始账户记录'!$B$8</f>
        <v/>
      </c>
      <c r="J10" s="2" t="inlineStr">
        <is>
          <t>科技</t>
        </is>
      </c>
      <c r="K10" s="2" t="inlineStr">
        <is>
          <t>中高</t>
        </is>
      </c>
      <c r="L10" s="3">
        <f>IF(A10="P07",F10,0)</f>
        <v/>
      </c>
      <c r="M10" s="2" t="inlineStr">
        <is>
          <t>估值汇率0.92人民币/港币</t>
        </is>
      </c>
    </row>
    <row r="11">
      <c r="A11" s="2" t="inlineStr">
        <is>
          <t>合计</t>
        </is>
      </c>
      <c r="B11" s="2" t="inlineStr"/>
      <c r="C11" s="2">
        <f>SUM(C2:C10)</f>
        <v/>
      </c>
      <c r="D11" s="2">
        <f>SUM(D2:D10)</f>
        <v/>
      </c>
      <c r="E11" s="3">
        <f>SUM(E2:E10)</f>
        <v/>
      </c>
      <c r="F11" s="3">
        <f>SUM(F2:F10)</f>
        <v/>
      </c>
      <c r="G11" s="3">
        <f>SUM(G2:G10)</f>
        <v/>
      </c>
      <c r="H11" s="4">
        <f>SUM(H2:H10)</f>
        <v/>
      </c>
      <c r="I11" s="4" t="inlineStr"/>
      <c r="J11" s="2" t="inlineStr"/>
      <c r="K11" s="2" t="inlineStr"/>
      <c r="L11" s="3">
        <f>SUM(L2:L10)</f>
        <v/>
      </c>
      <c r="M11" s="2" t="inlineStr"/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1" t="inlineStr">
        <is>
          <t>阶段</t>
        </is>
      </c>
      <c r="B1" s="1" t="inlineStr">
        <is>
          <t>指标</t>
        </is>
      </c>
      <c r="C1" s="1" t="inlineStr">
        <is>
          <t>实际值（主口径）</t>
        </is>
      </c>
      <c r="D1" s="1" t="inlineStr">
        <is>
          <t>手工口径/保守值</t>
        </is>
      </c>
      <c r="E1" s="1" t="inlineStr">
        <is>
          <t>阈值</t>
        </is>
      </c>
      <c r="F1" s="1" t="inlineStr">
        <is>
          <t>状态</t>
        </is>
      </c>
      <c r="G1" s="1" t="inlineStr">
        <is>
          <t>解释</t>
        </is>
      </c>
    </row>
    <row r="2">
      <c r="A2" s="2" t="inlineStr">
        <is>
          <t>转出前</t>
        </is>
      </c>
      <c r="B2" s="2" t="inlineStr">
        <is>
          <t>单一证券最大权重</t>
        </is>
      </c>
      <c r="C2" s="4">
        <f>MAX(SUMIF(持仓诊断!A:A,"P01",持仓诊断!F:F),SUMIF(持仓诊断!A:A,"P02",持仓诊断!F:F),SUMIF(持仓诊断!A:A,"P03",持仓诊断!F:F),SUMIF(持仓诊断!A:A,"P04",持仓诊断!F:F),SUMIF(持仓诊断!A:A,"P05",持仓诊断!F:F),SUMIF(持仓诊断!A:A,"P06",持仓诊断!F:F),SUMIF(持仓诊断!A:A,"P07",持仓诊断!F:F))/1032660</f>
        <v/>
      </c>
      <c r="D2" s="4">
        <f>C2*1032660/1029000</f>
        <v/>
      </c>
      <c r="E2" s="4" t="n">
        <v>0.2</v>
      </c>
      <c r="F2" s="2">
        <f>IF(MAX(C2:D2)&lt;=E2,"通过",IF(MIN(C2:D2)&gt;E2,"不通过","边界"))</f>
        <v/>
      </c>
      <c r="G2" s="2" t="inlineStr">
        <is>
          <t>P05约20.33%–20.41%，超限</t>
        </is>
      </c>
    </row>
    <row r="3">
      <c r="A3" s="2" t="inlineStr">
        <is>
          <t>转出前</t>
        </is>
      </c>
      <c r="B3" s="2" t="inlineStr">
        <is>
          <t>科技主题</t>
        </is>
      </c>
      <c r="C3" s="4">
        <f>SUMIF(持仓诊断!J:J,"科技",持仓诊断!F:F)/1032660</f>
        <v/>
      </c>
      <c r="D3" s="4">
        <f>C3*1032660/1029000</f>
        <v/>
      </c>
      <c r="E3" s="4" t="n">
        <v>0.4</v>
      </c>
      <c r="F3" s="2">
        <f>IF(C3&lt;=E3,"通过","不通过")</f>
        <v/>
      </c>
      <c r="G3" s="2" t="inlineStr">
        <is>
          <t>P01+P02+P05+P07</t>
        </is>
      </c>
    </row>
    <row r="4">
      <c r="A4" s="2" t="inlineStr">
        <is>
          <t>转出前</t>
        </is>
      </c>
      <c r="B4" s="2" t="inlineStr">
        <is>
          <t>高风险</t>
        </is>
      </c>
      <c r="C4" s="4">
        <f>SUMIF(持仓诊断!K:K,"高",持仓诊断!F:F)/1032660</f>
        <v/>
      </c>
      <c r="D4" s="4">
        <f>C4*1032660/1029000</f>
        <v/>
      </c>
      <c r="E4" s="4" t="n">
        <v>0.45</v>
      </c>
      <c r="F4" s="2">
        <f>IF(C4&lt;=E4,"通过","不通过")</f>
        <v/>
      </c>
      <c r="G4" s="2" t="inlineStr">
        <is>
          <t>P01+P02+P05</t>
        </is>
      </c>
    </row>
    <row r="5">
      <c r="A5" s="2" t="inlineStr">
        <is>
          <t>转出前</t>
        </is>
      </c>
      <c r="B5" s="2" t="inlineStr">
        <is>
          <t>外币资产</t>
        </is>
      </c>
      <c r="C5" s="4">
        <f>SUM(持仓诊断!L:L)/1032660</f>
        <v/>
      </c>
      <c r="D5" s="4">
        <f>C5*1032660/1029000</f>
        <v/>
      </c>
      <c r="E5" s="4" t="n">
        <v>0.15</v>
      </c>
      <c r="F5" s="2">
        <f>IF(MAX(C5:D5)&lt;=E5,"通过","不通过")</f>
        <v/>
      </c>
      <c r="G5" s="2" t="inlineStr">
        <is>
          <t>P07按0.92折算</t>
        </is>
      </c>
    </row>
    <row r="6">
      <c r="A6" s="2" t="inlineStr">
        <is>
          <t>转出后</t>
        </is>
      </c>
      <c r="B6" s="2" t="inlineStr">
        <is>
          <t>现金比例（含美元现金净额）</t>
        </is>
      </c>
      <c r="C6" s="4">
        <f>(142500-50000+3000*7.18-1200)/(1032660-50000)</f>
        <v/>
      </c>
      <c r="D6" s="4">
        <f>(142500-50000)/(1032660-50000)</f>
        <v/>
      </c>
      <c r="E6" s="4" t="n">
        <v>0.1</v>
      </c>
      <c r="F6" s="2">
        <f>IF(C6&gt;=E6,"通过（宽口径）/人民币现金口径不通过","不通过")</f>
        <v/>
      </c>
      <c r="G6" s="2" t="inlineStr">
        <is>
          <t>宽口径11.48%；仅人民币现金9.41%，现金类定义需确认</t>
        </is>
      </c>
    </row>
    <row r="7">
      <c r="A7" s="2" t="inlineStr">
        <is>
          <t>转出后</t>
        </is>
      </c>
      <c r="B7" s="2" t="inlineStr">
        <is>
          <t>科技主题</t>
        </is>
      </c>
      <c r="C7" s="4">
        <f>SUMIF(持仓诊断!J:J,"科技",持仓诊断!F:F)/(1032660-50000)</f>
        <v/>
      </c>
      <c r="D7" s="4">
        <f>SUMIF(持仓诊断!J:J,"科技",持仓诊断!F:F)/(1029000-50000)</f>
        <v/>
      </c>
      <c r="E7" s="4" t="n">
        <v>0.4</v>
      </c>
      <c r="F7" s="2">
        <f>IF(C7&lt;=E7,"通过","不通过")</f>
        <v/>
      </c>
      <c r="G7" s="2" t="inlineStr">
        <is>
          <t>转出降低分母，恶化至约70.2%</t>
        </is>
      </c>
    </row>
    <row r="8">
      <c r="A8" s="2" t="inlineStr">
        <is>
          <t>转出后</t>
        </is>
      </c>
      <c r="B8" s="2" t="inlineStr">
        <is>
          <t>高风险</t>
        </is>
      </c>
      <c r="C8" s="4">
        <f>SUMIF(持仓诊断!K:K,"高",持仓诊断!F:F)/(1032660-50000)</f>
        <v/>
      </c>
      <c r="D8" s="4">
        <f>SUMIF(持仓诊断!K:K,"高",持仓诊断!F:F)/(1029000-50000)</f>
        <v/>
      </c>
      <c r="E8" s="4" t="n">
        <v>0.45</v>
      </c>
      <c r="F8" s="2">
        <f>IF(C8&lt;=E8,"通过","不通过")</f>
        <v/>
      </c>
      <c r="G8" s="2" t="inlineStr">
        <is>
          <t>约55.9%</t>
        </is>
      </c>
    </row>
    <row r="9">
      <c r="A9" s="2" t="inlineStr">
        <is>
          <t>转出后</t>
        </is>
      </c>
      <c r="B9" s="2" t="inlineStr">
        <is>
          <t>外币资产</t>
        </is>
      </c>
      <c r="C9" s="4">
        <f>SUM(持仓诊断!L:L)/(1032660-50000)</f>
        <v/>
      </c>
      <c r="D9" s="4">
        <f>SUM(持仓诊断!L:L)/(1029000-50000)</f>
        <v/>
      </c>
      <c r="E9" s="4" t="n">
        <v>0.15</v>
      </c>
      <c r="F9" s="2">
        <f>IF(MAX(C9:D9)&lt;=E9,"通过","不通过")</f>
        <v/>
      </c>
      <c r="G9" s="2" t="inlineStr">
        <is>
          <t>约14.32%–14.37%，接近上限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45" customWidth="1" min="16" max="16"/>
  </cols>
  <sheetData>
    <row r="1">
      <c r="A1" s="1" t="inlineStr">
        <is>
          <t>规则ID</t>
        </is>
      </c>
      <c r="B1" s="1" t="inlineStr">
        <is>
          <t>阶段</t>
        </is>
      </c>
      <c r="C1" s="1" t="inlineStr">
        <is>
          <t>if条件</t>
        </is>
      </c>
      <c r="D1" s="1" t="inlineStr">
        <is>
          <t>then动作</t>
        </is>
      </c>
      <c r="E1" s="1" t="inlineStr">
        <is>
          <t>拟卖数量</t>
        </is>
      </c>
      <c r="F1" s="1" t="inlineStr">
        <is>
          <t>参考价</t>
        </is>
      </c>
      <c r="G1" s="1" t="inlineStr">
        <is>
          <t>估计费用</t>
        </is>
      </c>
      <c r="H1" s="1" t="inlineStr">
        <is>
          <t>净回款</t>
        </is>
      </c>
      <c r="I1" s="1" t="inlineStr">
        <is>
          <t>交易后持仓</t>
        </is>
      </c>
      <c r="J1" s="1" t="inlineStr">
        <is>
          <t>交易后主NAV</t>
        </is>
      </c>
      <c r="K1" s="1" t="inlineStr">
        <is>
          <t>单股最大</t>
        </is>
      </c>
      <c r="L1" s="1" t="inlineStr">
        <is>
          <t>科技主题</t>
        </is>
      </c>
      <c r="M1" s="1" t="inlineStr">
        <is>
          <t>高风险</t>
        </is>
      </c>
      <c r="N1" s="1" t="inlineStr">
        <is>
          <t>外币</t>
        </is>
      </c>
      <c r="O1" s="1" t="inlineStr">
        <is>
          <t>现金比例</t>
        </is>
      </c>
      <c r="P1" s="1" t="inlineStr">
        <is>
          <t>失效条件/复核</t>
        </is>
      </c>
    </row>
    <row r="2">
      <c r="A2" s="2" t="inlineStr">
        <is>
          <t>A01</t>
        </is>
      </c>
      <c r="B2" s="2" t="inlineStr">
        <is>
          <t>8/17转出前</t>
        </is>
      </c>
      <c r="C2" s="2" t="inlineStr">
        <is>
          <t>若人民币现金足以完成已确认的50,000元转出</t>
        </is>
      </c>
      <c r="D2" s="2" t="inlineStr">
        <is>
          <t>则保留50,000元并完成资金安排；不将拟卖未成交款计入现金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原持仓</t>
        </is>
      </c>
      <c r="J2" s="2" t="n">
        <v>982660</v>
      </c>
      <c r="K2" s="4" t="n"/>
      <c r="L2" s="4" t="n"/>
      <c r="M2" s="4" t="n"/>
      <c r="N2" s="4" t="n"/>
      <c r="O2" s="4">
        <f>(142500-50000+21540-1200)/982660</f>
        <v/>
      </c>
      <c r="P2" s="2" t="inlineStr">
        <is>
          <t>资金系统显示不足则暂停转出并复核</t>
        </is>
      </c>
    </row>
    <row r="3">
      <c r="A3" s="2" t="inlineStr">
        <is>
          <t>A02</t>
        </is>
      </c>
      <c r="B3" s="2" t="inlineStr">
        <is>
          <t>正常成交</t>
        </is>
      </c>
      <c r="C3" s="2" t="inlineStr">
        <is>
          <t>若P05报价有效、可卖2,000股且盘口正常</t>
        </is>
      </c>
      <c r="D3" s="2" t="inlineStr">
        <is>
          <t>则提交卖出P05 2,000股的审批；经理看好意见不是风险例外</t>
        </is>
      </c>
      <c r="E3" s="2" t="n">
        <v>2000</v>
      </c>
      <c r="F3" s="2" t="n">
        <v>105</v>
      </c>
      <c r="G3" s="2">
        <f>MAX(5,E3*F3*0.03%)+E3*F3*0.05%</f>
        <v/>
      </c>
      <c r="H3" s="2">
        <f>E3*F3-G3</f>
        <v/>
      </c>
      <c r="I3" s="2" t="inlineStr">
        <is>
          <t>P05=0</t>
        </is>
      </c>
      <c r="J3" s="2">
        <f>J2-G3</f>
        <v/>
      </c>
      <c r="K3" s="4">
        <f>MAX(175200,164000,140760)/(J3)</f>
        <v/>
      </c>
      <c r="L3" s="4">
        <f> (689960-E3*F3)/J3</f>
        <v/>
      </c>
      <c r="M3" s="4">
        <f>(549200-E3*F3)/J3</f>
        <v/>
      </c>
      <c r="N3" s="4">
        <f>140760/J3</f>
        <v/>
      </c>
      <c r="O3" s="4">
        <f>((142500-50000+21540-1200)+H3)/J3</f>
        <v/>
      </c>
      <c r="P3" s="2" t="inlineStr">
        <is>
          <t>报价/可卖数无效则不执行</t>
        </is>
      </c>
    </row>
    <row r="4">
      <c r="A4" s="2" t="inlineStr">
        <is>
          <t>A03</t>
        </is>
      </c>
      <c r="B4" s="2" t="inlineStr">
        <is>
          <t>正常成交</t>
        </is>
      </c>
      <c r="C4" s="2" t="inlineStr">
        <is>
          <t>若A02成交且P01在下周一全部5,000股已可卖、报价有效</t>
        </is>
      </c>
      <c r="D4" s="2" t="inlineStr">
        <is>
          <t>则提交卖出P01 2,800股的审批，优先分配旧批次；100股整数</t>
        </is>
      </c>
      <c r="E4" s="2" t="n">
        <v>2800</v>
      </c>
      <c r="F4" s="2" t="n">
        <v>32.8</v>
      </c>
      <c r="G4" s="2">
        <f>MAX(5,E4*F4*0.03%)+E4*F4*0.05%</f>
        <v/>
      </c>
      <c r="H4" s="2">
        <f>E4*F4-G4</f>
        <v/>
      </c>
      <c r="I4" s="2" t="inlineStr">
        <is>
          <t>P01余2,200股</t>
        </is>
      </c>
      <c r="J4" s="2">
        <f>J3-G4</f>
        <v/>
      </c>
      <c r="K4" s="4">
        <f>MAX(175200,72000,140760)/J4</f>
        <v/>
      </c>
      <c r="L4" s="4">
        <f>(689960-E3*F3-E4*F4)/J4</f>
        <v/>
      </c>
      <c r="M4" s="4">
        <f>(549200-E3*F3-E4*F4)/J4</f>
        <v/>
      </c>
      <c r="N4" s="4">
        <f>140760/J4</f>
        <v/>
      </c>
      <c r="O4" s="4">
        <f>((142500-50000+21540-1200)+H3+H4)/J4</f>
        <v/>
      </c>
      <c r="P4" s="2" t="inlineStr">
        <is>
          <t>若P01当日买入批次未解冻或深度不足则只卖可卖旧批次并重算</t>
        </is>
      </c>
    </row>
    <row r="5">
      <c r="A5" s="2" t="inlineStr">
        <is>
          <t>A04</t>
        </is>
      </c>
      <c r="B5" s="2" t="inlineStr">
        <is>
          <t>P02跌停</t>
        </is>
      </c>
      <c r="C5" s="2" t="inlineStr">
        <is>
          <t>若P02仍跌停封单或无有效买盘</t>
        </is>
      </c>
      <c r="D5" s="2" t="inlineStr">
        <is>
          <t>则条件未成立，因此未执行P02卖出；不把委托计入现金</t>
        </is>
      </c>
      <c r="E5" s="2" t="n">
        <v>0</v>
      </c>
      <c r="F5" s="2" t="n">
        <v>58.4</v>
      </c>
      <c r="G5" s="2" t="n">
        <v>0</v>
      </c>
      <c r="H5" s="2" t="n">
        <v>0</v>
      </c>
      <c r="I5" s="2" t="inlineStr">
        <is>
          <t>P02保持3,000股</t>
        </is>
      </c>
      <c r="J5" s="2">
        <f>J4</f>
        <v/>
      </c>
      <c r="K5" s="4">
        <f>K4</f>
        <v/>
      </c>
      <c r="L5" s="4">
        <f>L4</f>
        <v/>
      </c>
      <c r="M5" s="4">
        <f>M4</f>
        <v/>
      </c>
      <c r="N5" s="4">
        <f>N4</f>
        <v/>
      </c>
      <c r="O5" s="4">
        <f>O4</f>
        <v/>
      </c>
      <c r="P5" s="2" t="inlineStr">
        <is>
          <t>涨跌停状态恢复时重新复核</t>
        </is>
      </c>
    </row>
    <row r="6">
      <c r="A6" s="2" t="inlineStr">
        <is>
          <t>A05</t>
        </is>
      </c>
      <c r="B6" s="2" t="inlineStr">
        <is>
          <t>P04停牌</t>
        </is>
      </c>
      <c r="C6" s="2" t="inlineStr">
        <is>
          <t>若P04仍停牌</t>
        </is>
      </c>
      <c r="D6" s="2" t="inlineStr">
        <is>
          <t>则卖出数量记0，不用8/13价格假设可成交</t>
        </is>
      </c>
      <c r="E6" s="2" t="n">
        <v>0</v>
      </c>
      <c r="F6" s="2" t="n">
        <v>12.35</v>
      </c>
      <c r="G6" s="2" t="n">
        <v>0</v>
      </c>
      <c r="H6" s="2" t="n">
        <v>0</v>
      </c>
      <c r="I6" s="2" t="inlineStr">
        <is>
          <t>P04保持6,000股</t>
        </is>
      </c>
      <c r="J6" s="2">
        <f>J4</f>
        <v/>
      </c>
      <c r="K6" s="4">
        <f>K4</f>
        <v/>
      </c>
      <c r="L6" s="4">
        <f>L4</f>
        <v/>
      </c>
      <c r="M6" s="4">
        <f>M4</f>
        <v/>
      </c>
      <c r="N6" s="4">
        <f>N4</f>
        <v/>
      </c>
      <c r="O6" s="4">
        <f>O4</f>
        <v/>
      </c>
      <c r="P6" s="2" t="inlineStr">
        <is>
          <t>复牌后用新报价和可卖数复核</t>
        </is>
      </c>
    </row>
    <row r="7">
      <c r="A7" s="2" t="inlineStr">
        <is>
          <t>A06</t>
        </is>
      </c>
      <c r="B7" s="2" t="inlineStr">
        <is>
          <t>风险继续扩大</t>
        </is>
      </c>
      <c r="C7" s="2" t="inlineStr">
        <is>
          <t>若转出后任一口径科技&gt;40%、高风险&gt;45%、单股&gt;20%或外币&gt;15%</t>
        </is>
      </c>
      <c r="D7" s="2" t="inlineStr">
        <is>
          <t>则暂停新增风险，按A02/A03或等风险改善改案恢复；不得以回本/长期看好为由拖延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待复核</t>
        </is>
      </c>
      <c r="J7" s="2">
        <f>J4</f>
        <v/>
      </c>
      <c r="K7" s="4">
        <f>K4</f>
        <v/>
      </c>
      <c r="L7" s="4">
        <f>L4</f>
        <v/>
      </c>
      <c r="M7" s="4">
        <f>M4</f>
        <v/>
      </c>
      <c r="N7" s="4">
        <f>N4</f>
        <v/>
      </c>
      <c r="O7" s="4">
        <f>O4</f>
        <v/>
      </c>
      <c r="P7" s="2" t="inlineStr">
        <is>
          <t>全部硬约束通过后解除</t>
        </is>
      </c>
    </row>
    <row r="8">
      <c r="A8" s="2" t="inlineStr">
        <is>
          <t>A07</t>
        </is>
      </c>
      <c r="B8" s="2" t="inlineStr">
        <is>
          <t>现金口径</t>
        </is>
      </c>
      <c r="C8" s="2" t="inlineStr">
        <is>
          <t>若仅人民币现金/总资产低于10%</t>
        </is>
      </c>
      <c r="D8" s="2" t="inlineStr">
        <is>
          <t>则在转出前保留或变现至少5,766元以上，并以成交回报复算；美元是否属于现金类须确认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不新增证券</t>
        </is>
      </c>
      <c r="J8" s="2">
        <f>J4</f>
        <v/>
      </c>
      <c r="K8" s="4">
        <f>K4</f>
        <v/>
      </c>
      <c r="L8" s="4">
        <f>L4</f>
        <v/>
      </c>
      <c r="M8" s="4">
        <f>M4</f>
        <v/>
      </c>
      <c r="N8" s="4">
        <f>N4</f>
        <v/>
      </c>
      <c r="O8" s="4">
        <f>O4</f>
        <v/>
      </c>
      <c r="P8" s="2" t="inlineStr">
        <is>
          <t>现金类定义及到账状态明确</t>
        </is>
      </c>
    </row>
  </sheetData>
  <autoFilter ref="A1:P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主题</t>
        </is>
      </c>
      <c r="B1" s="1" t="inlineStr">
        <is>
          <t>说明</t>
        </is>
      </c>
    </row>
    <row r="2">
      <c r="A2" s="2" t="inlineStr">
        <is>
          <t>结论</t>
        </is>
      </c>
      <c r="B2" s="2" t="inlineStr">
        <is>
          <t>托管总资产1,032,660元可与明细完全勾稽；组合经理1,029,000元低3,660元，来源未解释。主测算用可勾稽值，同时在约束表保留两口径区间。</t>
        </is>
      </c>
    </row>
    <row r="3">
      <c r="A3" s="2" t="inlineStr">
        <is>
          <t>优先级</t>
        </is>
      </c>
      <c r="B3" s="2" t="inlineStr">
        <is>
          <t>不是按账面盈亏排序。P05先处理，因为单票超20%、高风险且科技集中，且“长期看好”没有风险例外；P01其次，因为高风险/科技且下周一当日买入批次解冻后可卖。P02虽风险高但跌停成交不确定；P04停牌不可作为即时资金来源。</t>
        </is>
      </c>
    </row>
    <row r="4">
      <c r="A4" s="2" t="inlineStr">
        <is>
          <t>资金转出</t>
        </is>
      </c>
      <c r="B4" s="2" t="inlineStr">
        <is>
          <t>转出50,000元后分母下降，单票、科技、高风险和外币比率均上升。宽现金口径（人民币+美元折算-费用）约11.48%通过；仅人民币现金约9.41%不通过，必须确认“现金类资产”定义或预留至少约5,766元。</t>
        </is>
      </c>
    </row>
    <row r="5">
      <c r="A5" s="2" t="inlineStr">
        <is>
          <t>推荐条件方案</t>
        </is>
      </c>
      <c r="B5" s="2" t="inlineStr">
        <is>
          <t>若P05、P01交易条件正常，则拟卖P05 2,000股、P01 2,800股。预计股票卖出费用分别168.00元和73.47元；交易后科技约39.50%、高风险约25.64%、最大单股约17.83%、外币约14.33%，主口径均通过。</t>
        </is>
      </c>
    </row>
    <row r="6">
      <c r="A6" s="2" t="inlineStr">
        <is>
          <t>交易边界</t>
        </is>
      </c>
      <c r="B6" s="2" t="inlineStr">
        <is>
          <t>本工作簿仅为调仓前分析。停牌、跌停、当日买入不可卖均按0可成交处理；没有成交回报不得写成已卖。P06使用除权后2.88元，不把0.80元现金分配机械认定为投资损失。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2026-09-11T06:38:27Z</dcterms:created>
  <dcterms:modified xmlns:dcterms="http://purl.org/dc/terms/" xmlns:xsi="http://www.w3.org/2001/XMLSchema-instance" xsi:type="dcterms:W3CDTF">2026-09-11T06:38:27Z</dcterms:modified>
</cp:coreProperties>
</file>