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决策摘要" sheetId="1" state="visible" r:id="rId1"/>
    <sheet xmlns:r="http://schemas.openxmlformats.org/officeDocument/2006/relationships" name="原始_账户汇总" sheetId="2" state="visible" r:id="rId2"/>
    <sheet xmlns:r="http://schemas.openxmlformats.org/officeDocument/2006/relationships" name="原始_持仓批次" sheetId="3" state="visible" r:id="rId3"/>
    <sheet xmlns:r="http://schemas.openxmlformats.org/officeDocument/2006/relationships" name="原始_行情与交易状态" sheetId="4" state="visible" r:id="rId4"/>
    <sheet xmlns:r="http://schemas.openxmlformats.org/officeDocument/2006/relationships" name="原始_风险暴露" sheetId="5" state="visible" r:id="rId5"/>
    <sheet xmlns:r="http://schemas.openxmlformats.org/officeDocument/2006/relationships" name="持仓勾稽与盈亏" sheetId="6" state="visible" r:id="rId6"/>
    <sheet xmlns:r="http://schemas.openxmlformats.org/officeDocument/2006/relationships" name="总资产双口径勾稽" sheetId="7" state="visible" r:id="rId7"/>
    <sheet xmlns:r="http://schemas.openxmlformats.org/officeDocument/2006/relationships" name="硬约束状态" sheetId="8" state="visible" r:id="rId8"/>
    <sheet xmlns:r="http://schemas.openxmlformats.org/officeDocument/2006/relationships" name="资金转出影响" sheetId="9" state="visible" r:id="rId9"/>
    <sheet xmlns:r="http://schemas.openxmlformats.org/officeDocument/2006/relationships" name="交易日历" sheetId="10" state="visible" r:id="rId10"/>
    <sheet xmlns:r="http://schemas.openxmlformats.org/officeDocument/2006/relationships" name="调仓方案与交易明细" sheetId="11" state="visible" r:id="rId11"/>
    <sheet xmlns:r="http://schemas.openxmlformats.org/officeDocument/2006/relationships" name="条件规则" sheetId="12" state="visible" r:id="rId12"/>
    <sheet xmlns:r="http://schemas.openxmlformats.org/officeDocument/2006/relationships" name="情景与压力" sheetId="13" state="visible" r:id="rId13"/>
    <sheet xmlns:r="http://schemas.openxmlformats.org/officeDocument/2006/relationships" name="假设与缺失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sz val="10"/>
    </font>
    <font>
      <name val="微软雅黑"/>
      <b val="1"/>
      <color rgb="001F4E79"/>
      <sz val="10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C00000"/>
      <sz val="10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left" vertical="center" wrapText="1"/>
    </xf>
    <xf numFmtId="1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left" vertical="center" wrapText="1"/>
    </xf>
    <xf numFmtId="2" fontId="5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0" borderId="1" pivotButton="0" quotePrefix="0" xfId="0"/>
    <xf numFmtId="3" fontId="5" fillId="0" borderId="1" pivotButton="0" quotePrefix="0" xfId="0"/>
    <xf numFmtId="4" fontId="5" fillId="0" borderId="1" pivotButton="0" quotePrefix="0" xfId="0"/>
    <xf numFmtId="10" fontId="5" fillId="0" borderId="1" pivotButton="0" quotePrefix="0" xfId="0"/>
    <xf numFmtId="0" fontId="2" fillId="4" borderId="1" pivotButton="0" quotePrefix="0" xfId="0"/>
    <xf numFmtId="3" fontId="2" fillId="4" borderId="1" pivotButton="0" quotePrefix="0" xfId="0"/>
    <xf numFmtId="4" fontId="2" fillId="4" borderId="1" pivotButton="0" quotePrefix="0" xfId="0"/>
    <xf numFmtId="10" fontId="2" fillId="4" borderId="1" pivotButton="0" quotePrefix="0" xfId="0"/>
    <xf numFmtId="0" fontId="2" fillId="0" borderId="1" pivotButton="0" quotePrefix="0" xfId="0"/>
    <xf numFmtId="0" fontId="3" fillId="2" borderId="1" pivotButton="0" quotePrefix="0" xfId="0"/>
    <xf numFmtId="0" fontId="5" fillId="2" borderId="1" pivotButton="0" quotePrefix="0" xfId="0"/>
    <xf numFmtId="0" fontId="6" fillId="5" borderId="1" pivotButton="0" quotePrefix="0" xfId="0"/>
    <xf numFmtId="4" fontId="6" fillId="5" borderId="1" pivotButton="0" quotePrefix="0" xfId="0"/>
    <xf numFmtId="0" fontId="5" fillId="6" borderId="1" applyAlignment="1" pivotButton="0" quotePrefix="0" xfId="0">
      <alignment horizontal="left" vertical="center" wrapText="1"/>
    </xf>
    <xf numFmtId="0" fontId="5" fillId="5" borderId="1" pivotButton="0" quotePrefix="0" xfId="0"/>
    <xf numFmtId="10" fontId="5" fillId="5" borderId="1" pivotButton="0" quotePrefix="0" xfId="0"/>
    <xf numFmtId="0" fontId="2" fillId="6" borderId="1" pivotButton="0" quotePrefix="0" xfId="0"/>
    <xf numFmtId="164" fontId="5" fillId="0" borderId="1" pivotButton="0" quotePrefix="0" xfId="0"/>
    <xf numFmtId="4" fontId="5" fillId="5" borderId="1" pivotButton="0" quotePrefix="0" xfId="0"/>
    <xf numFmtId="0" fontId="5" fillId="7" borderId="1" pivotButton="0" quotePrefix="0" xfId="0"/>
    <xf numFmtId="0" fontId="5" fillId="6" borderId="1" pivotButton="0" quotePrefix="0" xfId="0"/>
    <xf numFmtId="0" fontId="6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30" customWidth="1" min="6" max="6"/>
  </cols>
  <sheetData>
    <row r="1" ht="28" customHeight="1">
      <c r="A1" s="1" t="inlineStr">
        <is>
          <t>组合持仓诊断与交易纪律 — 决策摘要</t>
        </is>
      </c>
    </row>
    <row r="3">
      <c r="A3" s="2" t="inlineStr">
        <is>
          <t>资料截点</t>
        </is>
      </c>
      <c r="B3" s="3" t="inlineStr">
        <is>
          <t>2026-08-14 17:00 (北京时间)</t>
        </is>
      </c>
      <c r="C3" s="3" t="n"/>
      <c r="D3" s="3" t="n"/>
      <c r="E3" s="3" t="n"/>
      <c r="F3" s="3" t="n"/>
    </row>
    <row r="4">
      <c r="A4" s="2" t="inlineStr">
        <is>
          <t>采用总资产口径</t>
        </is>
      </c>
      <c r="B4" s="3" t="inlineStr">
        <is>
          <t>托管系统底账口径 1,032,660 元</t>
        </is>
      </c>
      <c r="C4" s="3" t="inlineStr">
        <is>
          <t>(组合经理手工记录 1,029,000 元，差异 3,660 元见双口径勾稽表)</t>
        </is>
      </c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4" t="inlineStr">
        <is>
          <t>关键指标</t>
        </is>
      </c>
      <c r="B6" s="5" t="n"/>
      <c r="C6" s="5" t="n"/>
      <c r="D6" s="5" t="n"/>
      <c r="E6" s="5" t="n"/>
      <c r="F6" s="5" t="n"/>
    </row>
    <row r="7">
      <c r="A7" s="6" t="inlineStr">
        <is>
          <t>指标</t>
        </is>
      </c>
      <c r="B7" s="6" t="inlineStr">
        <is>
          <t>调整前</t>
        </is>
      </c>
      <c r="C7" s="6" t="inlineStr">
        <is>
          <t>转出后(无减仓)</t>
        </is>
      </c>
      <c r="D7" s="6" t="inlineStr">
        <is>
          <t>拟定方案后</t>
        </is>
      </c>
      <c r="E7" s="6" t="inlineStr">
        <is>
          <t>约束阈值</t>
        </is>
      </c>
      <c r="F7" s="6" t="inlineStr">
        <is>
          <t>判定</t>
        </is>
      </c>
    </row>
    <row r="8">
      <c r="A8" s="3" t="inlineStr">
        <is>
          <t>总资产(元)</t>
        </is>
      </c>
      <c r="B8" s="3">
        <f>总资产双口径勾稽!B8</f>
        <v/>
      </c>
      <c r="C8" s="3">
        <f>总资产双口径勾稽!B8-50000</f>
        <v/>
      </c>
      <c r="D8" s="3">
        <f>调仓方案与交易明细!B21</f>
        <v/>
      </c>
      <c r="E8" s="3" t="inlineStr">
        <is>
          <t>—</t>
        </is>
      </c>
      <c r="F8" s="3" t="inlineStr">
        <is>
          <t>—</t>
        </is>
      </c>
    </row>
    <row r="9">
      <c r="A9" s="3" t="inlineStr">
        <is>
          <t>人民币现金(元)</t>
        </is>
      </c>
      <c r="B9" s="7" t="n">
        <v>142500</v>
      </c>
      <c r="C9" s="7" t="n">
        <v>92500</v>
      </c>
      <c r="D9" s="3">
        <f>调仓方案与交易明细!B22</f>
        <v/>
      </c>
      <c r="E9" s="3" t="inlineStr">
        <is>
          <t>≥10%总资产</t>
        </is>
      </c>
      <c r="F9" s="3" t="inlineStr">
        <is>
          <t>—</t>
        </is>
      </c>
    </row>
    <row r="10">
      <c r="A10" s="3" t="inlineStr">
        <is>
          <t>现金占比</t>
        </is>
      </c>
      <c r="B10" s="8">
        <f>142500/总资产双口径勾稽!B8</f>
        <v/>
      </c>
      <c r="C10" s="8">
        <f>92500/(总资产双口径勾稽!B8-50000)</f>
        <v/>
      </c>
      <c r="D10" s="8">
        <f>调仓方案与交易明细!B23</f>
        <v/>
      </c>
      <c r="E10" s="3" t="inlineStr">
        <is>
          <t>≥10%</t>
        </is>
      </c>
      <c r="F10" s="3" t="inlineStr">
        <is>
          <t>—</t>
        </is>
      </c>
    </row>
    <row r="11">
      <c r="A11" s="3" t="inlineStr">
        <is>
          <t>P05单票权重</t>
        </is>
      </c>
      <c r="B11" s="8">
        <f>210000/总资产双口径勾稽!B8</f>
        <v/>
      </c>
      <c r="C11" s="8">
        <f>210000/(总资产双口径勾稽!B8-50000)</f>
        <v/>
      </c>
      <c r="D11" s="8">
        <f>189000/调仓方案与交易明细!B21</f>
        <v/>
      </c>
      <c r="E11" s="3" t="inlineStr">
        <is>
          <t>≤20%</t>
        </is>
      </c>
      <c r="F11" s="3" t="inlineStr">
        <is>
          <t>—</t>
        </is>
      </c>
    </row>
    <row r="12">
      <c r="A12" s="3" t="inlineStr">
        <is>
          <t>科技主题权重</t>
        </is>
      </c>
      <c r="B12" s="8">
        <f>689960/总资产双口径勾稽!B8</f>
        <v/>
      </c>
      <c r="C12" s="8">
        <f>689960/(总资产双口径勾稽!B8-50000)</f>
        <v/>
      </c>
      <c r="D12" s="8">
        <f>390440/调仓方案与交易明细!B21</f>
        <v/>
      </c>
      <c r="E12" s="3" t="inlineStr">
        <is>
          <t>≤40%</t>
        </is>
      </c>
      <c r="F12" s="3" t="inlineStr">
        <is>
          <t>—</t>
        </is>
      </c>
    </row>
    <row r="13">
      <c r="A13" s="3" t="inlineStr">
        <is>
          <t>高风险持仓权重</t>
        </is>
      </c>
      <c r="B13" s="8">
        <f>549200/总资产双口径勾稽!B8</f>
        <v/>
      </c>
      <c r="C13" s="8">
        <f>549200/(总资产双口径勾稽!B8-50000)</f>
        <v/>
      </c>
      <c r="D13" s="8">
        <f>364200/调仓方案与交易明细!B21</f>
        <v/>
      </c>
      <c r="E13" s="3" t="inlineStr">
        <is>
          <t>≤45%</t>
        </is>
      </c>
      <c r="F13" s="3" t="inlineStr">
        <is>
          <t>—</t>
        </is>
      </c>
    </row>
    <row r="14">
      <c r="A14" s="3" t="inlineStr">
        <is>
          <t>外币资产权重</t>
        </is>
      </c>
      <c r="B14" s="8">
        <f>162300/总资产双口径勾稽!B8</f>
        <v/>
      </c>
      <c r="C14" s="8">
        <f>162300/(总资产双口径勾稽!B8-50000)</f>
        <v/>
      </c>
      <c r="D14" s="8">
        <f>21540/调仓方案与交易明细!B21</f>
        <v/>
      </c>
      <c r="E14" s="3" t="inlineStr">
        <is>
          <t>≤15%</t>
        </is>
      </c>
      <c r="F14" s="3" t="inlineStr">
        <is>
          <t>—</t>
        </is>
      </c>
    </row>
    <row r="15">
      <c r="A15" s="3" t="n"/>
      <c r="B15" s="3" t="n"/>
      <c r="C15" s="3" t="n"/>
      <c r="D15" s="3" t="n"/>
      <c r="E15" s="3" t="n"/>
      <c r="F15" s="3" t="n"/>
    </row>
    <row r="16">
      <c r="A16" s="4" t="inlineStr">
        <is>
          <t>结论与首要动作</t>
        </is>
      </c>
      <c r="B16" s="5" t="n"/>
      <c r="C16" s="5" t="n"/>
      <c r="D16" s="5" t="n"/>
      <c r="E16" s="5" t="n"/>
      <c r="F16" s="5" t="n"/>
    </row>
    <row r="17" ht="30" customHeight="1">
      <c r="A17" s="3" t="inlineStr">
        <is>
          <t>当前组合五项已批准约束全部超限：P05单票20.34%、科技主题66.81%、高风险53.18%、外币15.72%、转出后现金约9.41%。</t>
        </is>
      </c>
      <c r="B17" s="11" t="n"/>
      <c r="C17" s="11" t="n"/>
      <c r="D17" s="11" t="n"/>
      <c r="E17" s="11" t="n"/>
      <c r="F17" s="12" t="n"/>
    </row>
    <row r="18" ht="30" customHeight="1">
      <c r="A18" s="3" t="inlineStr">
        <is>
          <t>最紧约束为科技主题上限40%，需在转出5万元后减持科技类市值约29.7万元；P02跌停、P04停牌不可作为可成交标的。</t>
        </is>
      </c>
      <c r="B18" s="11" t="n"/>
      <c r="C18" s="11" t="n"/>
      <c r="D18" s="11" t="n"/>
      <c r="E18" s="11" t="n"/>
      <c r="F18" s="12" t="n"/>
    </row>
    <row r="19" ht="30" customHeight="1">
      <c r="A19" s="3" t="inlineStr">
        <is>
          <t>拟定方案：8月17日(周一)卖出P07全部10000份、P05 200股、P01 4200股，合计成交约29.95万元，扣费约267.77元，净回笼约29.93万元。</t>
        </is>
      </c>
      <c r="B19" s="11" t="n"/>
      <c r="C19" s="11" t="n"/>
      <c r="D19" s="11" t="n"/>
      <c r="E19" s="11" t="n"/>
      <c r="F19" s="12" t="n"/>
    </row>
    <row r="20" ht="30" customHeight="1">
      <c r="A20" s="3" t="inlineStr">
        <is>
          <t>方案后五项约束全部达标：科技39.74%、高风险37.07%、P05单票19.24%、外币2.19%、现金39.88%。</t>
        </is>
      </c>
      <c r="B20" s="11" t="n"/>
      <c r="C20" s="11" t="n"/>
      <c r="D20" s="11" t="n"/>
      <c r="E20" s="11" t="n"/>
      <c r="F20" s="12" t="n"/>
    </row>
    <row r="21" ht="30" customHeight="1">
      <c r="A21" s="3" t="inlineStr">
        <is>
          <t>P05'长期看好暂不减持'为组合经理个人意见，未经客户确认和风险例外审批，不替代已批准上限；本方案仅减持最低必要数量200股。</t>
        </is>
      </c>
      <c r="B21" s="11" t="n"/>
      <c r="C21" s="11" t="n"/>
      <c r="D21" s="11" t="n"/>
      <c r="E21" s="11" t="n"/>
      <c r="F21" s="12" t="n"/>
    </row>
    <row r="22" ht="30" customHeight="1">
      <c r="A22" s="3" t="inlineStr">
        <is>
          <t>本工作簿仅用于调仓前分析，不代表任何交易已下达或执行；实际成交取决于当时买盘与涨跌停状态。</t>
        </is>
      </c>
      <c r="B22" s="11" t="n"/>
      <c r="C22" s="11" t="n"/>
      <c r="D22" s="11" t="n"/>
      <c r="E22" s="11" t="n"/>
      <c r="F22" s="12" t="n"/>
    </row>
  </sheetData>
  <mergeCells count="7">
    <mergeCell ref="A19:F19"/>
    <mergeCell ref="A1:F1"/>
    <mergeCell ref="A22:F22"/>
    <mergeCell ref="A17:F17"/>
    <mergeCell ref="A18:F18"/>
    <mergeCell ref="A20:F20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4" customWidth="1" min="3" max="3"/>
    <col width="20" customWidth="1" min="4" max="4"/>
    <col width="16" customWidth="1" min="5" max="5"/>
  </cols>
  <sheetData>
    <row r="1" ht="28" customHeight="1">
      <c r="A1" s="1" t="inlineStr">
        <is>
          <t>原始数据 — 账户汇总 (来源: 托管系统/资金系统/组合工作表)</t>
        </is>
      </c>
    </row>
    <row r="3">
      <c r="A3" s="6" t="inlineStr">
        <is>
          <t>字段</t>
        </is>
      </c>
      <c r="B3" s="6" t="inlineStr">
        <is>
          <t>数值</t>
        </is>
      </c>
      <c r="C3" s="6" t="inlineStr">
        <is>
          <t>币种或单位</t>
        </is>
      </c>
      <c r="D3" s="6" t="inlineStr">
        <is>
          <t>记录时间</t>
        </is>
      </c>
      <c r="E3" s="6" t="inlineStr">
        <is>
          <t>来源</t>
        </is>
      </c>
    </row>
    <row r="4">
      <c r="A4" s="3" t="inlineStr">
        <is>
          <t>证券市值小计</t>
        </is>
      </c>
      <c r="B4" s="7" t="n">
        <v>869820</v>
      </c>
      <c r="C4" s="3" t="inlineStr">
        <is>
          <t>人民币元</t>
        </is>
      </c>
      <c r="D4" s="3" t="inlineStr">
        <is>
          <t>2026-08-14 15:05</t>
        </is>
      </c>
      <c r="E4" s="3" t="inlineStr">
        <is>
          <t>托管系统</t>
        </is>
      </c>
    </row>
    <row r="5">
      <c r="A5" s="3" t="inlineStr">
        <is>
          <t>人民币可用现金</t>
        </is>
      </c>
      <c r="B5" s="7" t="n">
        <v>142500</v>
      </c>
      <c r="C5" s="3" t="inlineStr">
        <is>
          <t>人民币元</t>
        </is>
      </c>
      <c r="D5" s="3" t="inlineStr">
        <is>
          <t>2026-08-14 15:05</t>
        </is>
      </c>
      <c r="E5" s="3" t="inlineStr">
        <is>
          <t>资金系统</t>
        </is>
      </c>
    </row>
    <row r="6">
      <c r="A6" s="3" t="inlineStr">
        <is>
          <t>美元现金</t>
        </is>
      </c>
      <c r="B6" s="7" t="n">
        <v>3000</v>
      </c>
      <c r="C6" s="3" t="inlineStr">
        <is>
          <t>美元</t>
        </is>
      </c>
      <c r="D6" s="3" t="inlineStr">
        <is>
          <t>2026-08-14 15:05</t>
        </is>
      </c>
      <c r="E6" s="3" t="inlineStr">
        <is>
          <t>资金系统</t>
        </is>
      </c>
    </row>
    <row r="7">
      <c r="A7" s="3" t="inlineStr">
        <is>
          <t>美元兑人民币折算汇率</t>
        </is>
      </c>
      <c r="B7" s="7" t="n">
        <v>7.18</v>
      </c>
      <c r="C7" s="3" t="inlineStr">
        <is>
          <t>人民币/美元</t>
        </is>
      </c>
      <c r="D7" s="3" t="inlineStr">
        <is>
          <t>2026-08-14 15:00</t>
        </is>
      </c>
      <c r="E7" s="3" t="inlineStr">
        <is>
          <t>内部估值表</t>
        </is>
      </c>
    </row>
    <row r="8">
      <c r="A8" s="3" t="inlineStr">
        <is>
          <t>待扣费用</t>
        </is>
      </c>
      <c r="B8" s="7" t="n">
        <v>1200</v>
      </c>
      <c r="C8" s="3" t="inlineStr">
        <is>
          <t>人民币元</t>
        </is>
      </c>
      <c r="D8" s="3" t="inlineStr">
        <is>
          <t>2026-08-14 15:05</t>
        </is>
      </c>
      <c r="E8" s="3" t="inlineStr">
        <is>
          <t>托管系统</t>
        </is>
      </c>
    </row>
    <row r="9">
      <c r="A9" s="3" t="inlineStr">
        <is>
          <t>账户总资产记录</t>
        </is>
      </c>
      <c r="B9" s="7" t="n">
        <v>1032660</v>
      </c>
      <c r="C9" s="3" t="inlineStr">
        <is>
          <t>人民币元</t>
        </is>
      </c>
      <c r="D9" s="3" t="inlineStr">
        <is>
          <t>2026-08-14 15:05</t>
        </is>
      </c>
      <c r="E9" s="3" t="inlineStr">
        <is>
          <t>托管系统</t>
        </is>
      </c>
    </row>
    <row r="10">
      <c r="A10" s="3" t="inlineStr">
        <is>
          <t>组合经理手工记录总资产</t>
        </is>
      </c>
      <c r="B10" s="7" t="n">
        <v>1029000</v>
      </c>
      <c r="C10" s="3" t="inlineStr">
        <is>
          <t>人民币元</t>
        </is>
      </c>
      <c r="D10" s="3" t="inlineStr">
        <is>
          <t>2026-08-14 15:10</t>
        </is>
      </c>
      <c r="E10" s="3" t="inlineStr">
        <is>
          <t>组合工作表</t>
        </is>
      </c>
    </row>
    <row r="11">
      <c r="A11" s="3" t="inlineStr">
        <is>
          <t>本周计划净流出</t>
        </is>
      </c>
      <c r="B11" s="7" t="n">
        <v>50000</v>
      </c>
      <c r="C11" s="3" t="inlineStr">
        <is>
          <t>人民币元</t>
        </is>
      </c>
      <c r="D11" s="3" t="inlineStr">
        <is>
          <t>2026-08-17</t>
        </is>
      </c>
      <c r="E11" s="3" t="inlineStr">
        <is>
          <t>客户已确认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  <col width="10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</cols>
  <sheetData>
    <row r="1" ht="28" customHeight="1">
      <c r="A1" s="1" t="inlineStr">
        <is>
          <t>原始数据 — 持仓批次明细</t>
        </is>
      </c>
    </row>
    <row r="3">
      <c r="A3" s="6" t="inlineStr">
        <is>
          <t>证券ID</t>
        </is>
      </c>
      <c r="B3" s="6" t="inlineStr">
        <is>
          <t>证券类型</t>
        </is>
      </c>
      <c r="C3" s="6" t="inlineStr">
        <is>
          <t>行业或主题</t>
        </is>
      </c>
      <c r="D3" s="6" t="inlineStr">
        <is>
          <t>批次日期</t>
        </is>
      </c>
      <c r="E3" s="6" t="inlineStr">
        <is>
          <t>数量</t>
        </is>
      </c>
      <c r="F3" s="6" t="inlineStr">
        <is>
          <t>单位成本</t>
        </is>
      </c>
      <c r="G3" s="6" t="inlineStr">
        <is>
          <t>成本币种</t>
        </is>
      </c>
      <c r="H3" s="6" t="inlineStr">
        <is>
          <t>是否当日买入</t>
        </is>
      </c>
      <c r="I3" s="6" t="inlineStr">
        <is>
          <t>当前价格</t>
        </is>
      </c>
      <c r="J3" s="6" t="inlineStr">
        <is>
          <t>价格币种</t>
        </is>
      </c>
    </row>
    <row r="4">
      <c r="A4" s="3" t="inlineStr">
        <is>
          <t>P01</t>
        </is>
      </c>
      <c r="B4" s="3" t="inlineStr">
        <is>
          <t>A股</t>
        </is>
      </c>
      <c r="C4" s="3" t="inlineStr">
        <is>
          <t>电子</t>
        </is>
      </c>
      <c r="D4" s="3" t="inlineStr">
        <is>
          <t>2026-05-10</t>
        </is>
      </c>
      <c r="E4" s="9" t="n">
        <v>2500</v>
      </c>
      <c r="F4" s="7" t="n">
        <v>43.2</v>
      </c>
      <c r="G4" s="3" t="inlineStr">
        <is>
          <t>人民币</t>
        </is>
      </c>
      <c r="H4" s="3" t="inlineStr">
        <is>
          <t>否</t>
        </is>
      </c>
      <c r="I4" s="7" t="n">
        <v>32.8</v>
      </c>
      <c r="J4" s="3" t="inlineStr">
        <is>
          <t>人民币</t>
        </is>
      </c>
    </row>
    <row r="5">
      <c r="A5" s="3" t="inlineStr">
        <is>
          <t>P01</t>
        </is>
      </c>
      <c r="B5" s="3" t="inlineStr">
        <is>
          <t>A股</t>
        </is>
      </c>
      <c r="C5" s="3" t="inlineStr">
        <is>
          <t>电子</t>
        </is>
      </c>
      <c r="D5" s="3" t="inlineStr">
        <is>
          <t>2026-07-02</t>
        </is>
      </c>
      <c r="E5" s="9" t="n">
        <v>1500</v>
      </c>
      <c r="F5" s="7" t="n">
        <v>37.5</v>
      </c>
      <c r="G5" s="3" t="inlineStr">
        <is>
          <t>人民币</t>
        </is>
      </c>
      <c r="H5" s="3" t="inlineStr">
        <is>
          <t>否</t>
        </is>
      </c>
      <c r="I5" s="7" t="n">
        <v>32.8</v>
      </c>
      <c r="J5" s="3" t="inlineStr">
        <is>
          <t>人民币</t>
        </is>
      </c>
    </row>
    <row r="6">
      <c r="A6" s="3" t="inlineStr">
        <is>
          <t>P01</t>
        </is>
      </c>
      <c r="B6" s="3" t="inlineStr">
        <is>
          <t>A股</t>
        </is>
      </c>
      <c r="C6" s="3" t="inlineStr">
        <is>
          <t>电子</t>
        </is>
      </c>
      <c r="D6" s="3" t="inlineStr">
        <is>
          <t>2026-08-14</t>
        </is>
      </c>
      <c r="E6" s="9" t="n">
        <v>1000</v>
      </c>
      <c r="F6" s="7" t="n">
        <v>31.9</v>
      </c>
      <c r="G6" s="3" t="inlineStr">
        <is>
          <t>人民币</t>
        </is>
      </c>
      <c r="H6" s="3" t="inlineStr">
        <is>
          <t>是</t>
        </is>
      </c>
      <c r="I6" s="7" t="n">
        <v>32.8</v>
      </c>
      <c r="J6" s="3" t="inlineStr">
        <is>
          <t>人民币</t>
        </is>
      </c>
    </row>
    <row r="7">
      <c r="A7" s="3" t="inlineStr">
        <is>
          <t>P02</t>
        </is>
      </c>
      <c r="B7" s="3" t="inlineStr">
        <is>
          <t>A股</t>
        </is>
      </c>
      <c r="C7" s="3" t="inlineStr">
        <is>
          <t>计算机</t>
        </is>
      </c>
      <c r="D7" s="3" t="inlineStr">
        <is>
          <t>2026-03-18</t>
        </is>
      </c>
      <c r="E7" s="9" t="n">
        <v>3000</v>
      </c>
      <c r="F7" s="7" t="n">
        <v>54.2</v>
      </c>
      <c r="G7" s="3" t="inlineStr">
        <is>
          <t>人民币</t>
        </is>
      </c>
      <c r="H7" s="3" t="inlineStr">
        <is>
          <t>否</t>
        </is>
      </c>
      <c r="I7" s="7" t="n">
        <v>58.4</v>
      </c>
      <c r="J7" s="3" t="inlineStr">
        <is>
          <t>人民币</t>
        </is>
      </c>
    </row>
    <row r="8">
      <c r="A8" s="3" t="inlineStr">
        <is>
          <t>P03</t>
        </is>
      </c>
      <c r="B8" s="3" t="inlineStr">
        <is>
          <t>A股</t>
        </is>
      </c>
      <c r="C8" s="3" t="inlineStr">
        <is>
          <t>医药</t>
        </is>
      </c>
      <c r="D8" s="3" t="inlineStr">
        <is>
          <t>2026-04-11</t>
        </is>
      </c>
      <c r="E8" s="9" t="n">
        <v>8000</v>
      </c>
      <c r="F8" s="7" t="n">
        <v>10.3</v>
      </c>
      <c r="G8" s="3" t="inlineStr">
        <is>
          <t>人民币</t>
        </is>
      </c>
      <c r="H8" s="3" t="inlineStr">
        <is>
          <t>否</t>
        </is>
      </c>
      <c r="I8" s="7" t="n">
        <v>9.619999999999999</v>
      </c>
      <c r="J8" s="3" t="inlineStr">
        <is>
          <t>人民币</t>
        </is>
      </c>
    </row>
    <row r="9">
      <c r="A9" s="3" t="inlineStr">
        <is>
          <t>P04</t>
        </is>
      </c>
      <c r="B9" s="3" t="inlineStr">
        <is>
          <t>A股</t>
        </is>
      </c>
      <c r="C9" s="3" t="inlineStr">
        <is>
          <t>工业</t>
        </is>
      </c>
      <c r="D9" s="3" t="inlineStr">
        <is>
          <t>2026-01-20</t>
        </is>
      </c>
      <c r="E9" s="9" t="n">
        <v>6000</v>
      </c>
      <c r="F9" s="7" t="n">
        <v>11.9</v>
      </c>
      <c r="G9" s="3" t="inlineStr">
        <is>
          <t>人民币</t>
        </is>
      </c>
      <c r="H9" s="3" t="inlineStr">
        <is>
          <t>否</t>
        </is>
      </c>
      <c r="I9" s="7" t="n">
        <v>12.35</v>
      </c>
      <c r="J9" s="3" t="inlineStr">
        <is>
          <t>人民币</t>
        </is>
      </c>
    </row>
    <row r="10">
      <c r="A10" s="3" t="inlineStr">
        <is>
          <t>P05</t>
        </is>
      </c>
      <c r="B10" s="3" t="inlineStr">
        <is>
          <t>A股</t>
        </is>
      </c>
      <c r="C10" s="3" t="inlineStr">
        <is>
          <t>计算机</t>
        </is>
      </c>
      <c r="D10" s="3" t="inlineStr">
        <is>
          <t>2025-12-05</t>
        </is>
      </c>
      <c r="E10" s="9" t="n">
        <v>2000</v>
      </c>
      <c r="F10" s="7" t="n">
        <v>82.40000000000001</v>
      </c>
      <c r="G10" s="3" t="inlineStr">
        <is>
          <t>人民币</t>
        </is>
      </c>
      <c r="H10" s="3" t="inlineStr">
        <is>
          <t>否</t>
        </is>
      </c>
      <c r="I10" s="7" t="n">
        <v>105</v>
      </c>
      <c r="J10" s="3" t="inlineStr">
        <is>
          <t>人民币</t>
        </is>
      </c>
    </row>
    <row r="11">
      <c r="A11" s="3" t="inlineStr">
        <is>
          <t>P06</t>
        </is>
      </c>
      <c r="B11" s="3" t="inlineStr">
        <is>
          <t>境内ETF</t>
        </is>
      </c>
      <c r="C11" s="3" t="inlineStr">
        <is>
          <t>红利</t>
        </is>
      </c>
      <c r="D11" s="3" t="inlineStr">
        <is>
          <t>2026-02-06</t>
        </is>
      </c>
      <c r="E11" s="9" t="n">
        <v>10000</v>
      </c>
      <c r="F11" s="7" t="n">
        <v>3.1</v>
      </c>
      <c r="G11" s="3" t="inlineStr">
        <is>
          <t>人民币</t>
        </is>
      </c>
      <c r="H11" s="3" t="inlineStr">
        <is>
          <t>否</t>
        </is>
      </c>
      <c r="I11" s="7" t="n">
        <v>2.88</v>
      </c>
      <c r="J11" s="3" t="inlineStr">
        <is>
          <t>人民币</t>
        </is>
      </c>
    </row>
    <row r="12">
      <c r="A12" s="3" t="inlineStr">
        <is>
          <t>P07</t>
        </is>
      </c>
      <c r="B12" s="3" t="inlineStr">
        <is>
          <t>港股ETF</t>
        </is>
      </c>
      <c r="C12" s="3" t="inlineStr">
        <is>
          <t>海外科技</t>
        </is>
      </c>
      <c r="D12" s="3" t="inlineStr">
        <is>
          <t>2026-06-16</t>
        </is>
      </c>
      <c r="E12" s="9" t="n">
        <v>10000</v>
      </c>
      <c r="F12" s="7" t="n">
        <v>16.4</v>
      </c>
      <c r="G12" s="3" t="inlineStr">
        <is>
          <t>港币</t>
        </is>
      </c>
      <c r="H12" s="3" t="inlineStr">
        <is>
          <t>否</t>
        </is>
      </c>
      <c r="I12" s="7" t="n">
        <v>15.3</v>
      </c>
      <c r="J12" s="3" t="inlineStr">
        <is>
          <t>港币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16" customWidth="1" min="5" max="5"/>
    <col width="10" customWidth="1" min="6" max="6"/>
    <col width="10" customWidth="1" min="7" max="7"/>
    <col width="12" customWidth="1" min="8" max="8"/>
    <col width="10" customWidth="1" min="9" max="9"/>
    <col width="12" customWidth="1" min="10" max="10"/>
    <col width="16" customWidth="1" min="11" max="11"/>
    <col width="30" customWidth="1" min="12" max="12"/>
  </cols>
  <sheetData>
    <row r="1" ht="28" customHeight="1">
      <c r="A1" s="1" t="inlineStr">
        <is>
          <t>原始数据 — 行情与可交易状态</t>
        </is>
      </c>
    </row>
    <row r="3">
      <c r="A3" s="6" t="inlineStr">
        <is>
          <t>证券ID</t>
        </is>
      </c>
      <c r="B3" s="6" t="inlineStr">
        <is>
          <t>市场</t>
        </is>
      </c>
      <c r="C3" s="6" t="inlineStr">
        <is>
          <t>最新价格</t>
        </is>
      </c>
      <c r="D3" s="6" t="inlineStr">
        <is>
          <t>币种</t>
        </is>
      </c>
      <c r="E3" s="6" t="inlineStr">
        <is>
          <t>价格时间</t>
        </is>
      </c>
      <c r="F3" s="6" t="inlineStr">
        <is>
          <t>交易状态</t>
        </is>
      </c>
      <c r="G3" s="6" t="inlineStr">
        <is>
          <t>涨跌停状态</t>
        </is>
      </c>
      <c r="H3" s="6" t="inlineStr">
        <is>
          <t>当日买入数量</t>
        </is>
      </c>
      <c r="I3" s="6" t="inlineStr">
        <is>
          <t>可卖数量</t>
        </is>
      </c>
      <c r="J3" s="6" t="inlineStr">
        <is>
          <t>最小交易单位</t>
        </is>
      </c>
      <c r="K3" s="6" t="inlineStr">
        <is>
          <t>20日平均成交额_万元</t>
        </is>
      </c>
      <c r="L3" s="6" t="inlineStr">
        <is>
          <t>说明</t>
        </is>
      </c>
    </row>
    <row r="4">
      <c r="A4" s="3" t="inlineStr">
        <is>
          <t>P01</t>
        </is>
      </c>
      <c r="B4" s="3" t="inlineStr">
        <is>
          <t>沪深</t>
        </is>
      </c>
      <c r="C4" s="7" t="n">
        <v>32.8</v>
      </c>
      <c r="D4" s="3" t="inlineStr">
        <is>
          <t>人民币</t>
        </is>
      </c>
      <c r="E4" s="3" t="inlineStr">
        <is>
          <t>2026-08-14 15:00</t>
        </is>
      </c>
      <c r="F4" s="3" t="inlineStr">
        <is>
          <t>正常</t>
        </is>
      </c>
      <c r="G4" s="3" t="inlineStr">
        <is>
          <t>无</t>
        </is>
      </c>
      <c r="H4" s="9" t="n">
        <v>1000</v>
      </c>
      <c r="I4" s="9" t="n">
        <v>4000</v>
      </c>
      <c r="J4" s="9" t="n">
        <v>100</v>
      </c>
      <c r="K4" s="9" t="n">
        <v>8600</v>
      </c>
      <c r="L4" s="3" t="inlineStr">
        <is>
          <t>当日买入部分按T+1管理</t>
        </is>
      </c>
    </row>
    <row r="5">
      <c r="A5" s="3" t="inlineStr">
        <is>
          <t>P02</t>
        </is>
      </c>
      <c r="B5" s="3" t="inlineStr">
        <is>
          <t>沪深</t>
        </is>
      </c>
      <c r="C5" s="7" t="n">
        <v>58.4</v>
      </c>
      <c r="D5" s="3" t="inlineStr">
        <is>
          <t>人民币</t>
        </is>
      </c>
      <c r="E5" s="3" t="inlineStr">
        <is>
          <t>2026-08-14 15:00</t>
        </is>
      </c>
      <c r="F5" s="3" t="inlineStr">
        <is>
          <t>正常</t>
        </is>
      </c>
      <c r="G5" s="3" t="inlineStr">
        <is>
          <t>跌停</t>
        </is>
      </c>
      <c r="H5" s="9" t="n">
        <v>0</v>
      </c>
      <c r="I5" s="9" t="n">
        <v>3000</v>
      </c>
      <c r="J5" s="9" t="n">
        <v>100</v>
      </c>
      <c r="K5" s="9" t="n">
        <v>2100</v>
      </c>
      <c r="L5" s="3" t="inlineStr">
        <is>
          <t>收盘封单，次日成交不确定</t>
        </is>
      </c>
    </row>
    <row r="6">
      <c r="A6" s="3" t="inlineStr">
        <is>
          <t>P03</t>
        </is>
      </c>
      <c r="B6" s="3" t="inlineStr">
        <is>
          <t>沪深</t>
        </is>
      </c>
      <c r="C6" s="7" t="n">
        <v>9.619999999999999</v>
      </c>
      <c r="D6" s="3" t="inlineStr">
        <is>
          <t>人民币</t>
        </is>
      </c>
      <c r="E6" s="3" t="inlineStr">
        <is>
          <t>2026-08-14 15:00</t>
        </is>
      </c>
      <c r="F6" s="3" t="inlineStr">
        <is>
          <t>正常</t>
        </is>
      </c>
      <c r="G6" s="3" t="inlineStr">
        <is>
          <t>无</t>
        </is>
      </c>
      <c r="H6" s="9" t="n">
        <v>0</v>
      </c>
      <c r="I6" s="9" t="n">
        <v>8000</v>
      </c>
      <c r="J6" s="9" t="n">
        <v>100</v>
      </c>
      <c r="K6" s="9" t="n">
        <v>4700</v>
      </c>
      <c r="L6" s="3" t="inlineStr"/>
    </row>
    <row r="7">
      <c r="A7" s="3" t="inlineStr">
        <is>
          <t>P04</t>
        </is>
      </c>
      <c r="B7" s="3" t="inlineStr">
        <is>
          <t>沪深</t>
        </is>
      </c>
      <c r="C7" s="7" t="n">
        <v>12.35</v>
      </c>
      <c r="D7" s="3" t="inlineStr">
        <is>
          <t>人民币</t>
        </is>
      </c>
      <c r="E7" s="3" t="inlineStr">
        <is>
          <t>2026-08-13 15:00</t>
        </is>
      </c>
      <c r="F7" s="3" t="inlineStr">
        <is>
          <t>停牌</t>
        </is>
      </c>
      <c r="G7" s="3" t="inlineStr">
        <is>
          <t>不适用</t>
        </is>
      </c>
      <c r="H7" s="9" t="n">
        <v>0</v>
      </c>
      <c r="I7" s="9" t="n">
        <v>0</v>
      </c>
      <c r="J7" s="9" t="n">
        <v>100</v>
      </c>
      <c r="K7" s="9" t="n">
        <v>900</v>
      </c>
      <c r="L7" s="3" t="inlineStr">
        <is>
          <t>8月14日全天停牌，复牌日未确定</t>
        </is>
      </c>
    </row>
    <row r="8">
      <c r="A8" s="3" t="inlineStr">
        <is>
          <t>P05</t>
        </is>
      </c>
      <c r="B8" s="3" t="inlineStr">
        <is>
          <t>沪深</t>
        </is>
      </c>
      <c r="C8" s="7" t="n">
        <v>105</v>
      </c>
      <c r="D8" s="3" t="inlineStr">
        <is>
          <t>人民币</t>
        </is>
      </c>
      <c r="E8" s="3" t="inlineStr">
        <is>
          <t>2026-08-14 15:00</t>
        </is>
      </c>
      <c r="F8" s="3" t="inlineStr">
        <is>
          <t>正常</t>
        </is>
      </c>
      <c r="G8" s="3" t="inlineStr">
        <is>
          <t>无</t>
        </is>
      </c>
      <c r="H8" s="9" t="n">
        <v>0</v>
      </c>
      <c r="I8" s="9" t="n">
        <v>2000</v>
      </c>
      <c r="J8" s="9" t="n">
        <v>100</v>
      </c>
      <c r="K8" s="9" t="n">
        <v>12800</v>
      </c>
      <c r="L8" s="3" t="inlineStr"/>
    </row>
    <row r="9">
      <c r="A9" s="3" t="inlineStr">
        <is>
          <t>P06</t>
        </is>
      </c>
      <c r="B9" s="3" t="inlineStr">
        <is>
          <t>沪深</t>
        </is>
      </c>
      <c r="C9" s="7" t="n">
        <v>2.88</v>
      </c>
      <c r="D9" s="3" t="inlineStr">
        <is>
          <t>人民币</t>
        </is>
      </c>
      <c r="E9" s="3" t="inlineStr">
        <is>
          <t>2026-08-14 15:00</t>
        </is>
      </c>
      <c r="F9" s="3" t="inlineStr">
        <is>
          <t>正常</t>
        </is>
      </c>
      <c r="G9" s="3" t="inlineStr">
        <is>
          <t>无</t>
        </is>
      </c>
      <c r="H9" s="9" t="n">
        <v>0</v>
      </c>
      <c r="I9" s="9" t="n">
        <v>10000</v>
      </c>
      <c r="J9" s="9" t="n">
        <v>100</v>
      </c>
      <c r="K9" s="9" t="n">
        <v>56000</v>
      </c>
      <c r="L9" s="3" t="inlineStr">
        <is>
          <t>8月12日每份现金分配0.80元；8月11日未调整收盘价3.68元，调整后参考价2.88元</t>
        </is>
      </c>
    </row>
    <row r="10">
      <c r="A10" s="3" t="inlineStr">
        <is>
          <t>P07</t>
        </is>
      </c>
      <c r="B10" s="3" t="inlineStr">
        <is>
          <t>香港</t>
        </is>
      </c>
      <c r="C10" s="7" t="n">
        <v>15.3</v>
      </c>
      <c r="D10" s="3" t="inlineStr">
        <is>
          <t>港币</t>
        </is>
      </c>
      <c r="E10" s="3" t="inlineStr">
        <is>
          <t>2026-08-14 16:00</t>
        </is>
      </c>
      <c r="F10" s="3" t="inlineStr">
        <is>
          <t>正常</t>
        </is>
      </c>
      <c r="G10" s="3" t="inlineStr">
        <is>
          <t>无</t>
        </is>
      </c>
      <c r="H10" s="9" t="n">
        <v>0</v>
      </c>
      <c r="I10" s="9" t="n">
        <v>10000</v>
      </c>
      <c r="J10" s="9" t="n">
        <v>500</v>
      </c>
      <c r="K10" s="9" t="n">
        <v>12500</v>
      </c>
      <c r="L10" s="3" t="inlineStr">
        <is>
          <t>港币兑人民币估值汇率0.92</t>
        </is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4" customWidth="1" min="4" max="4"/>
    <col width="14" customWidth="1" min="5" max="5"/>
    <col width="16" customWidth="1" min="6" max="6"/>
    <col width="12" customWidth="1" min="7" max="7"/>
  </cols>
  <sheetData>
    <row r="1" ht="28" customHeight="1">
      <c r="A1" s="1" t="inlineStr">
        <is>
          <t>原始数据 — 风险暴露</t>
        </is>
      </c>
    </row>
    <row r="3">
      <c r="A3" s="6" t="inlineStr">
        <is>
          <t>证券ID</t>
        </is>
      </c>
      <c r="B3" s="6" t="inlineStr">
        <is>
          <t>风险分类</t>
        </is>
      </c>
      <c r="C3" s="6" t="inlineStr">
        <is>
          <t>组合分组</t>
        </is>
      </c>
      <c r="D3" s="6" t="inlineStr">
        <is>
          <t>近60日波动率</t>
        </is>
      </c>
      <c r="E3" s="6" t="inlineStr">
        <is>
          <t>内部风险等级</t>
        </is>
      </c>
      <c r="F3" s="6" t="inlineStr">
        <is>
          <t>与P05相关系数</t>
        </is>
      </c>
      <c r="G3" s="6" t="inlineStr">
        <is>
          <t>是否外币暴露</t>
        </is>
      </c>
    </row>
    <row r="4">
      <c r="A4" s="3" t="inlineStr">
        <is>
          <t>P01</t>
        </is>
      </c>
      <c r="B4" s="3" t="inlineStr">
        <is>
          <t>成长</t>
        </is>
      </c>
      <c r="C4" s="3" t="inlineStr">
        <is>
          <t>科技</t>
        </is>
      </c>
      <c r="D4" s="10" t="n">
        <v>0.38</v>
      </c>
      <c r="E4" s="3" t="inlineStr">
        <is>
          <t>高</t>
        </is>
      </c>
      <c r="F4" s="10" t="n">
        <v>0.72</v>
      </c>
      <c r="G4" s="3" t="inlineStr">
        <is>
          <t>否</t>
        </is>
      </c>
    </row>
    <row r="5">
      <c r="A5" s="3" t="inlineStr">
        <is>
          <t>P02</t>
        </is>
      </c>
      <c r="B5" s="3" t="inlineStr">
        <is>
          <t>成长</t>
        </is>
      </c>
      <c r="C5" s="3" t="inlineStr">
        <is>
          <t>科技</t>
        </is>
      </c>
      <c r="D5" s="10" t="n">
        <v>0.44</v>
      </c>
      <c r="E5" s="3" t="inlineStr">
        <is>
          <t>高</t>
        </is>
      </c>
      <c r="F5" s="10" t="n">
        <v>0.8100000000000001</v>
      </c>
      <c r="G5" s="3" t="inlineStr">
        <is>
          <t>否</t>
        </is>
      </c>
    </row>
    <row r="6">
      <c r="A6" s="3" t="inlineStr">
        <is>
          <t>P03</t>
        </is>
      </c>
      <c r="B6" s="3" t="inlineStr">
        <is>
          <t>防御</t>
        </is>
      </c>
      <c r="C6" s="3" t="inlineStr">
        <is>
          <t>医药</t>
        </is>
      </c>
      <c r="D6" s="10" t="n">
        <v>0.25</v>
      </c>
      <c r="E6" s="3" t="inlineStr">
        <is>
          <t>中</t>
        </is>
      </c>
      <c r="F6" s="10" t="n">
        <v>0.18</v>
      </c>
      <c r="G6" s="3" t="inlineStr">
        <is>
          <t>否</t>
        </is>
      </c>
    </row>
    <row r="7">
      <c r="A7" s="3" t="inlineStr">
        <is>
          <t>P04</t>
        </is>
      </c>
      <c r="B7" s="3" t="inlineStr">
        <is>
          <t>周期</t>
        </is>
      </c>
      <c r="C7" s="3" t="inlineStr">
        <is>
          <t>工业</t>
        </is>
      </c>
      <c r="D7" s="10" t="n">
        <v>0.29</v>
      </c>
      <c r="E7" s="3" t="inlineStr">
        <is>
          <t>中</t>
        </is>
      </c>
      <c r="F7" s="10" t="n">
        <v>0.22</v>
      </c>
      <c r="G7" s="3" t="inlineStr">
        <is>
          <t>否</t>
        </is>
      </c>
    </row>
    <row r="8">
      <c r="A8" s="3" t="inlineStr">
        <is>
          <t>P05</t>
        </is>
      </c>
      <c r="B8" s="3" t="inlineStr">
        <is>
          <t>成长</t>
        </is>
      </c>
      <c r="C8" s="3" t="inlineStr">
        <is>
          <t>科技</t>
        </is>
      </c>
      <c r="D8" s="10" t="n">
        <v>0.46</v>
      </c>
      <c r="E8" s="3" t="inlineStr">
        <is>
          <t>高</t>
        </is>
      </c>
      <c r="F8" s="10" t="n">
        <v>1</v>
      </c>
      <c r="G8" s="3" t="inlineStr">
        <is>
          <t>否</t>
        </is>
      </c>
    </row>
    <row r="9">
      <c r="A9" s="3" t="inlineStr">
        <is>
          <t>P06</t>
        </is>
      </c>
      <c r="B9" s="3" t="inlineStr">
        <is>
          <t>防御</t>
        </is>
      </c>
      <c r="C9" s="3" t="inlineStr">
        <is>
          <t>红利</t>
        </is>
      </c>
      <c r="D9" s="10" t="n">
        <v>0.17</v>
      </c>
      <c r="E9" s="3" t="inlineStr">
        <is>
          <t>低</t>
        </is>
      </c>
      <c r="F9" s="10" t="n">
        <v>-0.05</v>
      </c>
      <c r="G9" s="3" t="inlineStr">
        <is>
          <t>否</t>
        </is>
      </c>
    </row>
    <row r="10">
      <c r="A10" s="3" t="inlineStr">
        <is>
          <t>P07</t>
        </is>
      </c>
      <c r="B10" s="3" t="inlineStr">
        <is>
          <t>成长</t>
        </is>
      </c>
      <c r="C10" s="3" t="inlineStr">
        <is>
          <t>科技</t>
        </is>
      </c>
      <c r="D10" s="10" t="n">
        <v>0.31</v>
      </c>
      <c r="E10" s="3" t="inlineStr">
        <is>
          <t>中高</t>
        </is>
      </c>
      <c r="F10" s="10" t="n">
        <v>0.64</v>
      </c>
      <c r="G10" s="3" t="inlineStr">
        <is>
          <t>是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0" customWidth="1" min="7" max="7"/>
    <col width="14" customWidth="1" min="8" max="8"/>
    <col width="14" customWidth="1" min="9" max="9"/>
    <col width="14" customWidth="1" min="10" max="10"/>
    <col width="10" customWidth="1" min="11" max="11"/>
    <col width="10" customWidth="1" min="12" max="12"/>
    <col width="10" customWidth="1" min="13" max="13"/>
    <col width="28" customWidth="1" min="14" max="14"/>
  </cols>
  <sheetData>
    <row r="1" ht="28" customHeight="1">
      <c r="A1" s="1" t="inlineStr">
        <is>
          <t>持仓勾稽与浮动盈亏 (按证券汇总，成本按批次重建，总资产分母=1,032,660元)</t>
        </is>
      </c>
    </row>
    <row r="3">
      <c r="A3" s="6" t="inlineStr">
        <is>
          <t>证券ID</t>
        </is>
      </c>
      <c r="B3" s="6" t="inlineStr">
        <is>
          <t>证券类型</t>
        </is>
      </c>
      <c r="C3" s="6" t="inlineStr">
        <is>
          <t>行业/主题</t>
        </is>
      </c>
      <c r="D3" s="6" t="inlineStr">
        <is>
          <t>风险等级</t>
        </is>
      </c>
      <c r="E3" s="6" t="inlineStr">
        <is>
          <t>总持仓数量</t>
        </is>
      </c>
      <c r="F3" s="6" t="inlineStr">
        <is>
          <t>总成本(元)</t>
        </is>
      </c>
      <c r="G3" s="6" t="inlineStr">
        <is>
          <t>加权平均成本</t>
        </is>
      </c>
      <c r="H3" s="6" t="inlineStr">
        <is>
          <t>当前价格</t>
        </is>
      </c>
      <c r="I3" s="6" t="inlineStr">
        <is>
          <t>市值(元)</t>
        </is>
      </c>
      <c r="J3" s="6" t="inlineStr">
        <is>
          <t>浮动盈亏(元)</t>
        </is>
      </c>
      <c r="K3" s="6" t="inlineStr">
        <is>
          <t>盈亏率</t>
        </is>
      </c>
      <c r="L3" s="6" t="inlineStr">
        <is>
          <t>持仓权重</t>
        </is>
      </c>
      <c r="M3" s="6" t="inlineStr">
        <is>
          <t>可卖数量</t>
        </is>
      </c>
      <c r="N3" s="6" t="inlineStr">
        <is>
          <t>交易状态与备注</t>
        </is>
      </c>
    </row>
    <row r="4">
      <c r="A4" s="13" t="inlineStr">
        <is>
          <t>P01</t>
        </is>
      </c>
      <c r="B4" s="13" t="inlineStr">
        <is>
          <t>A股</t>
        </is>
      </c>
      <c r="C4" s="13" t="inlineStr">
        <is>
          <t>电子/科技</t>
        </is>
      </c>
      <c r="D4" s="13" t="inlineStr">
        <is>
          <t>高</t>
        </is>
      </c>
      <c r="E4" s="14">
        <f>SUMIF(原始_持仓批次!A:A,"P01",原始_持仓批次!E:E)</f>
        <v/>
      </c>
      <c r="F4" s="15">
        <f>SUMPRODUCT((原始_持仓批次!A$4:A$12="P01")*原始_持仓批次!E$4:E$12*原始_持仓批次!F$4:F$12)</f>
        <v/>
      </c>
      <c r="G4" s="15">
        <f>F4/E4</f>
        <v/>
      </c>
      <c r="H4" s="15" t="n">
        <v>32.8</v>
      </c>
      <c r="I4" s="15">
        <f>E4*H4</f>
        <v/>
      </c>
      <c r="J4" s="15">
        <f>I4-F4</f>
        <v/>
      </c>
      <c r="K4" s="16">
        <f>IF(F4=0,"",J4/F4)</f>
        <v/>
      </c>
      <c r="L4" s="16">
        <f>I4/1032660</f>
        <v/>
      </c>
      <c r="M4" s="14" t="n">
        <v>4000</v>
      </c>
      <c r="N4" s="13" t="inlineStr">
        <is>
          <t>4000股今日可卖；1000股(8/14买入)T+1，8/17可卖</t>
        </is>
      </c>
    </row>
    <row r="5">
      <c r="A5" s="13" t="inlineStr">
        <is>
          <t>P02</t>
        </is>
      </c>
      <c r="B5" s="13" t="inlineStr">
        <is>
          <t>A股</t>
        </is>
      </c>
      <c r="C5" s="13" t="inlineStr">
        <is>
          <t>计算机/科技</t>
        </is>
      </c>
      <c r="D5" s="13" t="inlineStr">
        <is>
          <t>高</t>
        </is>
      </c>
      <c r="E5" s="14">
        <f>SUMIF(原始_持仓批次!A:A,"P02",原始_持仓批次!E:E)</f>
        <v/>
      </c>
      <c r="F5" s="15">
        <f>SUMPRODUCT((原始_持仓批次!A$4:A$12="P02")*原始_持仓批次!E$4:E$12*原始_持仓批次!F$4:F$12)</f>
        <v/>
      </c>
      <c r="G5" s="15">
        <f>F5/E5</f>
        <v/>
      </c>
      <c r="H5" s="15" t="n">
        <v>58.4</v>
      </c>
      <c r="I5" s="15">
        <f>E5*H5</f>
        <v/>
      </c>
      <c r="J5" s="15">
        <f>I5-F5</f>
        <v/>
      </c>
      <c r="K5" s="16">
        <f>IF(F5=0,"",J5/F5)</f>
        <v/>
      </c>
      <c r="L5" s="16">
        <f>I5/1032660</f>
        <v/>
      </c>
      <c r="M5" s="14" t="n">
        <v>3000</v>
      </c>
      <c r="N5" s="13" t="inlineStr">
        <is>
          <t>8/14收盘跌停封单，次日成交不确定</t>
        </is>
      </c>
    </row>
    <row r="6">
      <c r="A6" s="13" t="inlineStr">
        <is>
          <t>P03</t>
        </is>
      </c>
      <c r="B6" s="13" t="inlineStr">
        <is>
          <t>A股</t>
        </is>
      </c>
      <c r="C6" s="13" t="inlineStr">
        <is>
          <t>医药/医药</t>
        </is>
      </c>
      <c r="D6" s="13" t="inlineStr">
        <is>
          <t>中</t>
        </is>
      </c>
      <c r="E6" s="14">
        <f>SUMIF(原始_持仓批次!A:A,"P03",原始_持仓批次!E:E)</f>
        <v/>
      </c>
      <c r="F6" s="15">
        <f>SUMPRODUCT((原始_持仓批次!A$4:A$12="P03")*原始_持仓批次!E$4:E$12*原始_持仓批次!F$4:F$12)</f>
        <v/>
      </c>
      <c r="G6" s="15">
        <f>F6/E6</f>
        <v/>
      </c>
      <c r="H6" s="15" t="n">
        <v>9.619999999999999</v>
      </c>
      <c r="I6" s="15">
        <f>E6*H6</f>
        <v/>
      </c>
      <c r="J6" s="15">
        <f>I6-F6</f>
        <v/>
      </c>
      <c r="K6" s="16">
        <f>IF(F6=0,"",J6/F6)</f>
        <v/>
      </c>
      <c r="L6" s="16">
        <f>I6/1032660</f>
        <v/>
      </c>
      <c r="M6" s="14" t="n">
        <v>8000</v>
      </c>
      <c r="N6" s="13" t="inlineStr">
        <is>
          <t>正常交易</t>
        </is>
      </c>
    </row>
    <row r="7">
      <c r="A7" s="13" t="inlineStr">
        <is>
          <t>P04</t>
        </is>
      </c>
      <c r="B7" s="13" t="inlineStr">
        <is>
          <t>A股</t>
        </is>
      </c>
      <c r="C7" s="13" t="inlineStr">
        <is>
          <t>工业/工业</t>
        </is>
      </c>
      <c r="D7" s="13" t="inlineStr">
        <is>
          <t>中</t>
        </is>
      </c>
      <c r="E7" s="14">
        <f>SUMIF(原始_持仓批次!A:A,"P04",原始_持仓批次!E:E)</f>
        <v/>
      </c>
      <c r="F7" s="15">
        <f>SUMPRODUCT((原始_持仓批次!A$4:A$12="P04")*原始_持仓批次!E$4:E$12*原始_持仓批次!F$4:F$12)</f>
        <v/>
      </c>
      <c r="G7" s="15">
        <f>F7/E7</f>
        <v/>
      </c>
      <c r="H7" s="15" t="n">
        <v>12.35</v>
      </c>
      <c r="I7" s="15">
        <f>E7*H7</f>
        <v/>
      </c>
      <c r="J7" s="15">
        <f>I7-F7</f>
        <v/>
      </c>
      <c r="K7" s="16">
        <f>IF(F7=0,"",J7/F7)</f>
        <v/>
      </c>
      <c r="L7" s="16">
        <f>I7/1032660</f>
        <v/>
      </c>
      <c r="M7" s="14" t="n">
        <v>0</v>
      </c>
      <c r="N7" s="13" t="inlineStr">
        <is>
          <t>8/14起停牌，复牌日未定；价格为8/13收盘价</t>
        </is>
      </c>
    </row>
    <row r="8">
      <c r="A8" s="13" t="inlineStr">
        <is>
          <t>P05</t>
        </is>
      </c>
      <c r="B8" s="13" t="inlineStr">
        <is>
          <t>A股</t>
        </is>
      </c>
      <c r="C8" s="13" t="inlineStr">
        <is>
          <t>计算机/科技</t>
        </is>
      </c>
      <c r="D8" s="13" t="inlineStr">
        <is>
          <t>高</t>
        </is>
      </c>
      <c r="E8" s="14">
        <f>SUMIF(原始_持仓批次!A:A,"P05",原始_持仓批次!E:E)</f>
        <v/>
      </c>
      <c r="F8" s="15">
        <f>SUMPRODUCT((原始_持仓批次!A$4:A$12="P05")*原始_持仓批次!E$4:E$12*原始_持仓批次!F$4:F$12)</f>
        <v/>
      </c>
      <c r="G8" s="15">
        <f>F8/E8</f>
        <v/>
      </c>
      <c r="H8" s="15" t="n">
        <v>105</v>
      </c>
      <c r="I8" s="15">
        <f>E8*H8</f>
        <v/>
      </c>
      <c r="J8" s="15">
        <f>I8-F8</f>
        <v/>
      </c>
      <c r="K8" s="16">
        <f>IF(F8=0,"",J8/F8)</f>
        <v/>
      </c>
      <c r="L8" s="16">
        <f>I8/1032660</f>
        <v/>
      </c>
      <c r="M8" s="14" t="n">
        <v>2000</v>
      </c>
      <c r="N8" s="13" t="inlineStr">
        <is>
          <t>正常交易；组合经理提议暂不减持但未经审批</t>
        </is>
      </c>
    </row>
    <row r="9">
      <c r="A9" s="13" t="inlineStr">
        <is>
          <t>P06</t>
        </is>
      </c>
      <c r="B9" s="13" t="inlineStr">
        <is>
          <t>境内ETF</t>
        </is>
      </c>
      <c r="C9" s="13" t="inlineStr">
        <is>
          <t>红利/红利</t>
        </is>
      </c>
      <c r="D9" s="13" t="inlineStr">
        <is>
          <t>低</t>
        </is>
      </c>
      <c r="E9" s="14">
        <f>SUMIF(原始_持仓批次!A:A,"P06",原始_持仓批次!E:E)</f>
        <v/>
      </c>
      <c r="F9" s="15">
        <f>SUMPRODUCT((原始_持仓批次!A$4:A$12="P06")*原始_持仓批次!E$4:E$12*原始_持仓批次!F$4:F$12)</f>
        <v/>
      </c>
      <c r="G9" s="15">
        <f>F9/E9</f>
        <v/>
      </c>
      <c r="H9" s="15" t="n">
        <v>2.88</v>
      </c>
      <c r="I9" s="15">
        <f>E9*H9</f>
        <v/>
      </c>
      <c r="J9" s="15">
        <f>I9-F9</f>
        <v/>
      </c>
      <c r="K9" s="16">
        <f>IF(F9=0,"",J9/F9)</f>
        <v/>
      </c>
      <c r="L9" s="16">
        <f>I9/1032660</f>
        <v/>
      </c>
      <c r="M9" s="14" t="n">
        <v>10000</v>
      </c>
      <c r="N9" s="13" t="inlineStr">
        <is>
          <t>8/12每份派现0.80元，已用除权参考价2.88元</t>
        </is>
      </c>
    </row>
    <row r="10">
      <c r="A10" s="13" t="inlineStr">
        <is>
          <t>P07</t>
        </is>
      </c>
      <c r="B10" s="13" t="inlineStr">
        <is>
          <t>港股ETF</t>
        </is>
      </c>
      <c r="C10" s="13" t="inlineStr">
        <is>
          <t>海外科技/科技</t>
        </is>
      </c>
      <c r="D10" s="13" t="inlineStr">
        <is>
          <t>中高</t>
        </is>
      </c>
      <c r="E10" s="14">
        <f>SUMIF(原始_持仓批次!A:A,"P07",原始_持仓批次!E:E)</f>
        <v/>
      </c>
      <c r="F10" s="15">
        <f>SUMPRODUCT((原始_持仓批次!A$4:A$12="P07")*原始_持仓批次!E$4:E$12*原始_持仓批次!F$4:F$12)*0.92</f>
        <v/>
      </c>
      <c r="G10" s="15">
        <f>F10/E10</f>
        <v/>
      </c>
      <c r="H10" s="15" t="n">
        <v>15.3</v>
      </c>
      <c r="I10" s="15">
        <f>E10*H10*0.92</f>
        <v/>
      </c>
      <c r="J10" s="15">
        <f>I10-F10</f>
        <v/>
      </c>
      <c r="K10" s="16">
        <f>IF(F10=0,"",J10/F10)</f>
        <v/>
      </c>
      <c r="L10" s="16">
        <f>I10/1032660</f>
        <v/>
      </c>
      <c r="M10" s="14" t="n">
        <v>10000</v>
      </c>
      <c r="N10" s="13" t="inlineStr">
        <is>
          <t>港币计价，估值汇率0.92；最小交易单位500份</t>
        </is>
      </c>
    </row>
    <row r="11">
      <c r="A11" s="17" t="inlineStr">
        <is>
          <t>合计</t>
        </is>
      </c>
      <c r="B11" s="17" t="n"/>
      <c r="C11" s="17" t="n"/>
      <c r="D11" s="17" t="n"/>
      <c r="E11" s="18">
        <f>SUM(E4:E10)</f>
        <v/>
      </c>
      <c r="F11" s="19">
        <f>SUM(F4:F10)</f>
        <v/>
      </c>
      <c r="G11" s="17" t="n"/>
      <c r="H11" s="17" t="n"/>
      <c r="I11" s="19">
        <f>SUM(I4:I10)</f>
        <v/>
      </c>
      <c r="J11" s="19">
        <f>SUM(J4:J10)</f>
        <v/>
      </c>
      <c r="K11" s="17" t="n"/>
      <c r="L11" s="20">
        <f>SUM(L4:L10)</f>
        <v/>
      </c>
      <c r="M11" s="17" t="n"/>
      <c r="N11" s="17" t="n"/>
    </row>
    <row r="12">
      <c r="A12" s="21" t="inlineStr">
        <is>
          <t>核验</t>
        </is>
      </c>
      <c r="B12" s="13" t="inlineStr">
        <is>
          <t>市值合计 vs 托管系统证券市值小计</t>
        </is>
      </c>
      <c r="C12" s="13" t="n"/>
      <c r="D12" s="13" t="n"/>
      <c r="E12" s="13" t="n"/>
      <c r="F12" s="13" t="n"/>
      <c r="G12" s="13" t="n"/>
      <c r="H12" s="13" t="n"/>
      <c r="I12" s="15">
        <f>I11</f>
        <v/>
      </c>
      <c r="J12" s="15" t="n">
        <v>869820</v>
      </c>
      <c r="K12" s="15">
        <f>I12-J12</f>
        <v/>
      </c>
      <c r="L12" s="13" t="n"/>
      <c r="M12" s="13" t="n"/>
      <c r="N12" s="13" t="inlineStr">
        <is>
          <t>差异应为0</t>
        </is>
      </c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22" t="inlineStr">
        <is>
          <t>P06除权与总回报说明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1" t="inlineStr">
        <is>
          <t>原始成本(10000份×3.10)</t>
        </is>
      </c>
      <c r="B15" s="15">
        <f>10000*3.10</f>
        <v/>
      </c>
      <c r="C15" s="13" t="n"/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</row>
    <row r="16">
      <c r="A16" s="21" t="inlineStr">
        <is>
          <t>已收现金股息(10000份×0.80)</t>
        </is>
      </c>
      <c r="B16" s="15">
        <f>10000*0.80</f>
        <v/>
      </c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A17" s="21" t="inlineStr">
        <is>
          <t>当前市值(10000份×2.88)</t>
        </is>
      </c>
      <c r="B17" s="15">
        <f>10000*2.88</f>
        <v/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</row>
    <row r="18">
      <c r="A18" s="21" t="inlineStr">
        <is>
          <t>持仓浮动盈亏(不含股息)</t>
        </is>
      </c>
      <c r="B18" s="15">
        <f>28800-31000</f>
        <v/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A19" s="21" t="inlineStr">
        <is>
          <t>总回报(含已收股息)</t>
        </is>
      </c>
      <c r="B19" s="15">
        <f>28800-31000+8000</f>
        <v/>
      </c>
      <c r="C19" s="13" t="n"/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>
      <c r="A20" s="21" t="inlineStr">
        <is>
          <t>说明</t>
        </is>
      </c>
      <c r="B20" s="13" t="inlineStr">
        <is>
          <t>可用现金分配造成的除权不视为投资损失；比较收益时使用调整后参考价2.88元，并加回已确认现金股息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2" t="n"/>
    </row>
  </sheetData>
  <mergeCells count="2">
    <mergeCell ref="B20:N20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40" customWidth="1" min="5" max="5"/>
  </cols>
  <sheetData>
    <row r="1" ht="28" customHeight="1">
      <c r="A1" s="1" t="inlineStr">
        <is>
          <t>总资产双口径勾稽 — 差异说明与采用口径</t>
        </is>
      </c>
    </row>
    <row r="3">
      <c r="A3" s="6" t="inlineStr">
        <is>
          <t>项目</t>
        </is>
      </c>
      <c r="B3" s="6" t="inlineStr">
        <is>
          <t>金额(元)</t>
        </is>
      </c>
      <c r="C3" s="6" t="inlineStr">
        <is>
          <t>占比</t>
        </is>
      </c>
      <c r="D3" s="6" t="inlineStr">
        <is>
          <t>来源</t>
        </is>
      </c>
      <c r="E3" s="6" t="inlineStr">
        <is>
          <t>说明</t>
        </is>
      </c>
    </row>
    <row r="4">
      <c r="A4" s="13" t="inlineStr">
        <is>
          <t>证券市值小计</t>
        </is>
      </c>
      <c r="B4" s="15" t="n">
        <v>869820</v>
      </c>
      <c r="C4" s="16">
        <f>B4/1032660</f>
        <v/>
      </c>
      <c r="D4" s="13" t="inlineStr">
        <is>
          <t>托管系统</t>
        </is>
      </c>
      <c r="E4" s="13" t="inlineStr">
        <is>
          <t>7只持仓按截点价格计算，P07按0.92汇率折算</t>
        </is>
      </c>
    </row>
    <row r="5">
      <c r="A5" s="13" t="inlineStr">
        <is>
          <t>人民币可用现金</t>
        </is>
      </c>
      <c r="B5" s="15" t="n">
        <v>142500</v>
      </c>
      <c r="C5" s="16">
        <f>B5/1032660</f>
        <v/>
      </c>
      <c r="D5" s="13" t="inlineStr">
        <is>
          <t>资金系统</t>
        </is>
      </c>
      <c r="E5" s="13" t="inlineStr">
        <is>
          <t>含P06现金股息8000元(8/12到账)</t>
        </is>
      </c>
    </row>
    <row r="6">
      <c r="A6" s="13" t="inlineStr">
        <is>
          <t>美元现金折算</t>
        </is>
      </c>
      <c r="B6" s="15">
        <f>3000*7.18</f>
        <v/>
      </c>
      <c r="C6" s="16">
        <f>B6/1032660</f>
        <v/>
      </c>
      <c r="D6" s="13" t="inlineStr">
        <is>
          <t>资金系统+估值表</t>
        </is>
      </c>
      <c r="E6" s="13" t="inlineStr">
        <is>
          <t>3000美元×7.18汇率</t>
        </is>
      </c>
    </row>
    <row r="7">
      <c r="A7" s="13" t="inlineStr">
        <is>
          <t>待扣费用</t>
        </is>
      </c>
      <c r="B7" s="15" t="n">
        <v>-1200</v>
      </c>
      <c r="C7" s="16">
        <f>B7/1032660</f>
        <v/>
      </c>
      <c r="D7" s="13" t="inlineStr">
        <is>
          <t>托管系统</t>
        </is>
      </c>
      <c r="E7" s="13" t="inlineStr">
        <is>
          <t>已发生未扣收费用</t>
        </is>
      </c>
    </row>
    <row r="8">
      <c r="A8" s="17" t="inlineStr">
        <is>
          <t>托管系统总资产(底账合计)</t>
        </is>
      </c>
      <c r="B8" s="19">
        <f>SUM(B4:B7)</f>
        <v/>
      </c>
      <c r="C8" s="20">
        <f>B8/1032660</f>
        <v/>
      </c>
      <c r="D8" s="17" t="inlineStr">
        <is>
          <t>托管系统</t>
        </is>
      </c>
      <c r="E8" s="17" t="inlineStr">
        <is>
          <t>可由以上四项完整复算，作为主口径</t>
        </is>
      </c>
    </row>
    <row r="9">
      <c r="A9" s="13" t="n"/>
      <c r="B9" s="13" t="n"/>
      <c r="C9" s="13" t="n"/>
      <c r="D9" s="13" t="n"/>
      <c r="E9" s="13" t="n"/>
    </row>
    <row r="10">
      <c r="A10" s="22" t="inlineStr">
        <is>
          <t>双口径对比</t>
        </is>
      </c>
      <c r="B10" s="23" t="n"/>
      <c r="C10" s="23" t="n"/>
      <c r="D10" s="23" t="n"/>
      <c r="E10" s="23" t="n"/>
    </row>
    <row r="11">
      <c r="A11" s="13" t="inlineStr">
        <is>
          <t>托管系统总资产</t>
        </is>
      </c>
      <c r="B11" s="15" t="n">
        <v>1032660</v>
      </c>
      <c r="C11" s="13" t="inlineStr">
        <is>
          <t>2026-08-14 15:05</t>
        </is>
      </c>
      <c r="D11" s="13" t="n"/>
      <c r="E11" s="13" t="inlineStr">
        <is>
          <t>可由证券市值+现金+外币折算-待扣费用完整复算</t>
        </is>
      </c>
    </row>
    <row r="12">
      <c r="A12" s="13" t="inlineStr">
        <is>
          <t>组合经理手工记录总资产</t>
        </is>
      </c>
      <c r="B12" s="15" t="n">
        <v>1029000</v>
      </c>
      <c r="C12" s="13" t="inlineStr">
        <is>
          <t>2026-08-14 15:10</t>
        </is>
      </c>
      <c r="D12" s="13" t="n"/>
      <c r="E12" s="13" t="inlineStr">
        <is>
          <t>记录时间晚5分钟，可能含手工调整项</t>
        </is>
      </c>
    </row>
    <row r="13">
      <c r="A13" s="24" t="inlineStr">
        <is>
          <t>差异(托管系统-手工记录)</t>
        </is>
      </c>
      <c r="B13" s="25">
        <f>B14-B15</f>
        <v/>
      </c>
      <c r="C13" s="24" t="inlineStr"/>
      <c r="D13" s="24" t="n"/>
      <c r="E13" s="24" t="inlineStr">
        <is>
          <t>差额3,660元，占总资产0.35%</t>
        </is>
      </c>
    </row>
    <row r="14">
      <c r="A14" s="13" t="n"/>
      <c r="B14" s="13" t="n"/>
      <c r="C14" s="13" t="n"/>
      <c r="D14" s="13" t="n"/>
      <c r="E14" s="13" t="n"/>
    </row>
    <row r="15">
      <c r="A15" s="22" t="inlineStr">
        <is>
          <t>差异可能来源分析(无法从附件确定具体原因)</t>
        </is>
      </c>
      <c r="B15" s="23" t="n"/>
      <c r="C15" s="23" t="n"/>
      <c r="D15" s="23" t="n"/>
      <c r="E15" s="23" t="n"/>
    </row>
    <row r="16" ht="28" customHeight="1">
      <c r="A16" s="3" t="inlineStr">
        <is>
          <t>1. P04停牌估值差异：P04自8/14停牌，托管系统沿用8/13收盘价12.35元；组合经理可能对停牌证券计提了折价(若折价约0.61元/股，6000股对应约3,660元)。</t>
        </is>
      </c>
      <c r="B16" s="11" t="n"/>
      <c r="C16" s="11" t="n"/>
      <c r="D16" s="11" t="n"/>
      <c r="E16" s="12" t="n"/>
    </row>
    <row r="17" ht="28" customHeight="1">
      <c r="A17" s="3" t="inlineStr">
        <is>
          <t>2. 待扣费用处理差异：组合经理手工记录可能未扣除待扣费用1,200元，或对费用预提口径不同。</t>
        </is>
      </c>
      <c r="B17" s="11" t="n"/>
      <c r="C17" s="11" t="n"/>
      <c r="D17" s="11" t="n"/>
      <c r="E17" s="12" t="n"/>
    </row>
    <row r="18" ht="28" customHeight="1">
      <c r="A18" s="3" t="inlineStr">
        <is>
          <t>3. 记录时间差：托管系统15:05快照 vs 手工记录15:10，期间可能有资金系统变动。</t>
        </is>
      </c>
      <c r="B18" s="11" t="n"/>
      <c r="C18" s="11" t="n"/>
      <c r="D18" s="11" t="n"/>
      <c r="E18" s="12" t="n"/>
    </row>
    <row r="19" ht="28" customHeight="1">
      <c r="A19" s="3" t="inlineStr">
        <is>
          <t>4. 以上均为合理推断，附件未提供组合经理手工记录的计算明细，无法确认具体原因。</t>
        </is>
      </c>
      <c r="B19" s="11" t="n"/>
      <c r="C19" s="11" t="n"/>
      <c r="D19" s="11" t="n"/>
      <c r="E19" s="12" t="n"/>
    </row>
    <row r="20">
      <c r="A20" s="13" t="n"/>
      <c r="B20" s="13" t="n"/>
      <c r="C20" s="13" t="n"/>
      <c r="D20" s="13" t="n"/>
      <c r="E20" s="13" t="n"/>
    </row>
    <row r="21">
      <c r="A21" s="22" t="inlineStr">
        <is>
          <t>采用口径声明</t>
        </is>
      </c>
      <c r="B21" s="23" t="n"/>
      <c r="C21" s="23" t="n"/>
      <c r="D21" s="23" t="n"/>
      <c r="E21" s="23" t="n"/>
    </row>
    <row r="22" ht="36" customHeight="1">
      <c r="A22" s="26" t="inlineStr">
        <is>
          <t>本工作簿所有约束计算、权重、减仓数量均以托管系统底账口径 1,032,660 元为分母，因为该口径可由证券市值、现金、外币折算和待扣费用四项完整复算，证据链完整。</t>
        </is>
      </c>
      <c r="B22" s="11" t="n"/>
      <c r="C22" s="11" t="n"/>
      <c r="D22" s="11" t="n"/>
      <c r="E22" s="12" t="n"/>
    </row>
    <row r="23" ht="36" customHeight="1">
      <c r="A23" s="26" t="inlineStr">
        <is>
          <t>组合经理手工记录 1,029,000 元作为对照口径列示；若采用该口径，各项约束阈值同步收紧约0.35%，减仓数量需相应增加约1-2手，不改变约束超限/达标的方向性结论。</t>
        </is>
      </c>
      <c r="B23" s="11" t="n"/>
      <c r="C23" s="11" t="n"/>
      <c r="D23" s="11" t="n"/>
      <c r="E23" s="12" t="n"/>
    </row>
    <row r="24" ht="36" customHeight="1">
      <c r="A24" s="26" t="inlineStr">
        <is>
          <t>勾稽残差 3,660 元照实列出，未用其他资产或四舍五入抹平；建议组合经理提供手工记录的计算明细以查清差异来源。</t>
        </is>
      </c>
      <c r="B24" s="11" t="n"/>
      <c r="C24" s="11" t="n"/>
      <c r="D24" s="11" t="n"/>
      <c r="E24" s="12" t="n"/>
    </row>
  </sheetData>
  <mergeCells count="8">
    <mergeCell ref="A24:E24"/>
    <mergeCell ref="A16:E16"/>
    <mergeCell ref="A19:E19"/>
    <mergeCell ref="A1:E1"/>
    <mergeCell ref="A23:E23"/>
    <mergeCell ref="A22:E22"/>
    <mergeCell ref="A17:E17"/>
    <mergeCell ref="A18:E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0" customWidth="1" min="6" max="6"/>
    <col width="16" customWidth="1" min="7" max="7"/>
    <col width="16" customWidth="1" min="8" max="8"/>
    <col width="30" customWidth="1" min="9" max="9"/>
  </cols>
  <sheetData>
    <row r="1" ht="28" customHeight="1">
      <c r="A1" s="1" t="inlineStr">
        <is>
          <t>硬约束状态表 — 未调整 vs 拟定方案 (分母: 托管系统口径)</t>
        </is>
      </c>
    </row>
    <row r="3">
      <c r="A3" s="6" t="inlineStr">
        <is>
          <t>约束名称</t>
        </is>
      </c>
      <c r="B3" s="6" t="inlineStr">
        <is>
          <t>阈值</t>
        </is>
      </c>
      <c r="C3" s="6" t="inlineStr">
        <is>
          <t>未调整值</t>
        </is>
      </c>
      <c r="D3" s="6" t="inlineStr">
        <is>
          <t>转出后(无减仓)</t>
        </is>
      </c>
      <c r="E3" s="6" t="inlineStr">
        <is>
          <t>拟定方案后</t>
        </is>
      </c>
      <c r="F3" s="6" t="inlineStr">
        <is>
          <t>判定</t>
        </is>
      </c>
      <c r="G3" s="6" t="inlineStr">
        <is>
          <t>绑定/已消除</t>
        </is>
      </c>
      <c r="H3" s="6" t="inlineStr">
        <is>
          <t>达标所需动作</t>
        </is>
      </c>
      <c r="I3" s="6" t="inlineStr">
        <is>
          <t>对应规则号</t>
        </is>
      </c>
    </row>
    <row r="4">
      <c r="A4" s="13" t="inlineStr">
        <is>
          <t>单一证券市值上限(P05)</t>
        </is>
      </c>
      <c r="B4" s="13" t="inlineStr">
        <is>
          <t>≤20%</t>
        </is>
      </c>
      <c r="C4" s="16">
        <f>210000/1032660</f>
        <v/>
      </c>
      <c r="D4" s="16">
        <f>210000/(1032660-50000)</f>
        <v/>
      </c>
      <c r="E4" s="16">
        <f>189000/982392.23</f>
        <v/>
      </c>
      <c r="F4" s="13" t="inlineStr">
        <is>
          <t>超限→达标</t>
        </is>
      </c>
      <c r="G4" s="13" t="inlineStr">
        <is>
          <t>已消除</t>
        </is>
      </c>
      <c r="H4" s="13" t="inlineStr">
        <is>
          <t>卖出P05至少200股(21,000元)</t>
        </is>
      </c>
      <c r="I4" s="13" t="inlineStr">
        <is>
          <t>R1</t>
        </is>
      </c>
    </row>
    <row r="5">
      <c r="A5" s="27" t="inlineStr">
        <is>
          <t>科技主题合计上限</t>
        </is>
      </c>
      <c r="B5" s="27" t="inlineStr">
        <is>
          <t>≤40%</t>
        </is>
      </c>
      <c r="C5" s="28">
        <f>689960/1032660</f>
        <v/>
      </c>
      <c r="D5" s="28">
        <f>689960/(1032660-50000)</f>
        <v/>
      </c>
      <c r="E5" s="28">
        <f>390440/982392.23</f>
        <v/>
      </c>
      <c r="F5" s="27" t="inlineStr">
        <is>
          <t>超限→达标</t>
        </is>
      </c>
      <c r="G5" s="27" t="inlineStr">
        <is>
          <t>最紧约束</t>
        </is>
      </c>
      <c r="H5" s="27" t="inlineStr">
        <is>
          <t>减持科技类约29.7万元(P07全清+P01 4200股+P05 200股)</t>
        </is>
      </c>
      <c r="I5" s="27" t="inlineStr">
        <is>
          <t>R1,R2,R3</t>
        </is>
      </c>
    </row>
    <row r="6">
      <c r="A6" s="13" t="inlineStr">
        <is>
          <t>高风险持仓合计上限</t>
        </is>
      </c>
      <c r="B6" s="13" t="inlineStr">
        <is>
          <t>≤45%</t>
        </is>
      </c>
      <c r="C6" s="16">
        <f>549200/1032660</f>
        <v/>
      </c>
      <c r="D6" s="16">
        <f>549200/(1032660-50000)</f>
        <v/>
      </c>
      <c r="E6" s="16">
        <f>364200/982392.23</f>
        <v/>
      </c>
      <c r="F6" s="13" t="inlineStr">
        <is>
          <t>超限→达标</t>
        </is>
      </c>
      <c r="G6" s="13" t="inlineStr">
        <is>
          <t>已消除</t>
        </is>
      </c>
      <c r="H6" s="13" t="inlineStr">
        <is>
          <t>减持高风险(P01+P05)约15.9万元</t>
        </is>
      </c>
      <c r="I6" s="13" t="inlineStr">
        <is>
          <t>R1,R3</t>
        </is>
      </c>
    </row>
    <row r="7">
      <c r="A7" s="13" t="inlineStr">
        <is>
          <t>外币资产上限</t>
        </is>
      </c>
      <c r="B7" s="13" t="inlineStr">
        <is>
          <t>≤15%</t>
        </is>
      </c>
      <c r="C7" s="16">
        <f>162300/1032660</f>
        <v/>
      </c>
      <c r="D7" s="16">
        <f>162300/(1032660-50000)</f>
        <v/>
      </c>
      <c r="E7" s="16">
        <f>21540/982392.23</f>
        <v/>
      </c>
      <c r="F7" s="13" t="inlineStr">
        <is>
          <t>超限→达标</t>
        </is>
      </c>
      <c r="G7" s="13" t="inlineStr">
        <is>
          <t>已消除</t>
        </is>
      </c>
      <c r="H7" s="13" t="inlineStr">
        <is>
          <t>卖出P07全部10000份(港币资产)</t>
        </is>
      </c>
      <c r="I7" s="13" t="inlineStr">
        <is>
          <t>R2</t>
        </is>
      </c>
    </row>
    <row r="8">
      <c r="A8" s="13" t="inlineStr">
        <is>
          <t>转出后现金类资产下限</t>
        </is>
      </c>
      <c r="B8" s="13" t="inlineStr">
        <is>
          <t>≥10%</t>
        </is>
      </c>
      <c r="C8" s="16">
        <f>142500/1032660</f>
        <v/>
      </c>
      <c r="D8" s="16">
        <f>92500/(1032660-50000)</f>
        <v/>
      </c>
      <c r="E8" s="16">
        <f>391752.23/982392.23</f>
        <v/>
      </c>
      <c r="F8" s="13" t="inlineStr">
        <is>
          <t>超限→达标</t>
        </is>
      </c>
      <c r="G8" s="13" t="inlineStr">
        <is>
          <t>已消除</t>
        </is>
      </c>
      <c r="H8" s="13" t="inlineStr">
        <is>
          <t>减仓净回笼约29.9万元补充现金</t>
        </is>
      </c>
      <c r="I8" s="13" t="inlineStr">
        <is>
          <t>R1,R2,R3</t>
        </is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  <c r="I9" s="13" t="n"/>
    </row>
    <row r="10">
      <c r="A10" s="22" t="inlineStr">
        <is>
          <t>集中度分解(未调整，分母=1,032,660元)</t>
        </is>
      </c>
      <c r="B10" s="23" t="n"/>
      <c r="C10" s="23" t="n"/>
      <c r="D10" s="23" t="n"/>
      <c r="E10" s="23" t="n"/>
      <c r="F10" s="23" t="n"/>
      <c r="G10" s="23" t="n"/>
      <c r="H10" s="23" t="n"/>
      <c r="I10" s="23" t="n"/>
    </row>
    <row r="11">
      <c r="A11" s="21" t="inlineStr">
        <is>
          <t>主题分组</t>
        </is>
      </c>
      <c r="B11" s="21" t="inlineStr">
        <is>
          <t>包含标的</t>
        </is>
      </c>
      <c r="C11" s="21" t="inlineStr">
        <is>
          <t>市值(元)</t>
        </is>
      </c>
      <c r="D11" s="21" t="inlineStr">
        <is>
          <t>权重</t>
        </is>
      </c>
      <c r="E11" s="21" t="inlineStr">
        <is>
          <t>阈值</t>
        </is>
      </c>
      <c r="F11" s="21" t="inlineStr">
        <is>
          <t>判定</t>
        </is>
      </c>
      <c r="G11" s="13" t="n"/>
      <c r="H11" s="13" t="n"/>
      <c r="I11" s="13" t="n"/>
    </row>
    <row r="12">
      <c r="A12" s="13" t="inlineStr">
        <is>
          <t>科技</t>
        </is>
      </c>
      <c r="B12" s="13" t="inlineStr">
        <is>
          <t>P01,P02,P05,P07</t>
        </is>
      </c>
      <c r="C12" s="15" t="n">
        <v>689960</v>
      </c>
      <c r="D12" s="16">
        <f>C12/1032660</f>
        <v/>
      </c>
      <c r="E12" s="13" t="inlineStr">
        <is>
          <t>≤40%</t>
        </is>
      </c>
      <c r="F12" s="13" t="inlineStr">
        <is>
          <t>超限</t>
        </is>
      </c>
      <c r="G12" s="13" t="n"/>
      <c r="H12" s="13" t="n"/>
      <c r="I12" s="13" t="n"/>
    </row>
    <row r="13">
      <c r="A13" s="13" t="inlineStr">
        <is>
          <t>医药</t>
        </is>
      </c>
      <c r="B13" s="13" t="inlineStr">
        <is>
          <t>P03</t>
        </is>
      </c>
      <c r="C13" s="15" t="n">
        <v>76960</v>
      </c>
      <c r="D13" s="16">
        <f>C13/1032660</f>
        <v/>
      </c>
      <c r="E13" s="13" t="inlineStr">
        <is>
          <t>—</t>
        </is>
      </c>
      <c r="F13" s="13" t="inlineStr">
        <is>
          <t>—</t>
        </is>
      </c>
      <c r="G13" s="13" t="n"/>
      <c r="H13" s="13" t="n"/>
      <c r="I13" s="13" t="n"/>
    </row>
    <row r="14">
      <c r="A14" s="13" t="inlineStr">
        <is>
          <t>工业</t>
        </is>
      </c>
      <c r="B14" s="13" t="inlineStr">
        <is>
          <t>P04</t>
        </is>
      </c>
      <c r="C14" s="15" t="n">
        <v>74100</v>
      </c>
      <c r="D14" s="16">
        <f>C14/1032660</f>
        <v/>
      </c>
      <c r="E14" s="13" t="inlineStr">
        <is>
          <t>—</t>
        </is>
      </c>
      <c r="F14" s="13" t="inlineStr">
        <is>
          <t>—</t>
        </is>
      </c>
      <c r="G14" s="13" t="n"/>
      <c r="H14" s="13" t="n"/>
      <c r="I14" s="13" t="n"/>
    </row>
    <row r="15">
      <c r="A15" s="13" t="inlineStr">
        <is>
          <t>红利</t>
        </is>
      </c>
      <c r="B15" s="13" t="inlineStr">
        <is>
          <t>P06</t>
        </is>
      </c>
      <c r="C15" s="15" t="n">
        <v>28800</v>
      </c>
      <c r="D15" s="16">
        <f>C15/1032660</f>
        <v/>
      </c>
      <c r="E15" s="13" t="inlineStr">
        <is>
          <t>—</t>
        </is>
      </c>
      <c r="F15" s="13" t="inlineStr">
        <is>
          <t>—</t>
        </is>
      </c>
      <c r="G15" s="13" t="n"/>
      <c r="H15" s="13" t="n"/>
      <c r="I15" s="13" t="n"/>
    </row>
    <row r="16">
      <c r="A16" s="17" t="inlineStr">
        <is>
          <t>合计</t>
        </is>
      </c>
      <c r="B16" s="17" t="inlineStr"/>
      <c r="C16" s="19">
        <f>SUM(C12:C15)</f>
        <v/>
      </c>
      <c r="D16" s="20">
        <f>SUM(D12:D15)</f>
        <v/>
      </c>
      <c r="E16" s="17" t="inlineStr">
        <is>
          <t>—</t>
        </is>
      </c>
      <c r="F16" s="17" t="inlineStr">
        <is>
          <t>应=100%</t>
        </is>
      </c>
      <c r="G16" s="13" t="n"/>
      <c r="H16" s="13" t="n"/>
      <c r="I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  <c r="I17" s="13" t="n"/>
    </row>
    <row r="18">
      <c r="A18" s="22" t="inlineStr">
        <is>
          <t>风险等级分解(未调整)</t>
        </is>
      </c>
      <c r="B18" s="23" t="n"/>
      <c r="C18" s="23" t="n"/>
      <c r="D18" s="23" t="n"/>
      <c r="E18" s="23" t="n"/>
      <c r="F18" s="23" t="n"/>
      <c r="G18" s="23" t="n"/>
      <c r="H18" s="23" t="n"/>
      <c r="I18" s="23" t="n"/>
    </row>
    <row r="19">
      <c r="A19" s="21" t="inlineStr">
        <is>
          <t>风险等级</t>
        </is>
      </c>
      <c r="B19" s="21" t="inlineStr">
        <is>
          <t>包含标的</t>
        </is>
      </c>
      <c r="C19" s="21" t="inlineStr">
        <is>
          <t>市值(元)</t>
        </is>
      </c>
      <c r="D19" s="21" t="inlineStr">
        <is>
          <t>权重</t>
        </is>
      </c>
      <c r="E19" s="21" t="inlineStr">
        <is>
          <t>阈值</t>
        </is>
      </c>
      <c r="F19" s="21" t="inlineStr">
        <is>
          <t>判定</t>
        </is>
      </c>
      <c r="G19" s="13" t="n"/>
      <c r="H19" s="13" t="n"/>
      <c r="I19" s="13" t="n"/>
    </row>
    <row r="20">
      <c r="A20" s="13" t="inlineStr">
        <is>
          <t>高</t>
        </is>
      </c>
      <c r="B20" s="13" t="inlineStr">
        <is>
          <t>P01,P02,P05</t>
        </is>
      </c>
      <c r="C20" s="15" t="n">
        <v>549200</v>
      </c>
      <c r="D20" s="16">
        <f>C20/1032660</f>
        <v/>
      </c>
      <c r="E20" s="13" t="inlineStr">
        <is>
          <t>≤45%</t>
        </is>
      </c>
      <c r="F20" s="13" t="inlineStr">
        <is>
          <t>超限</t>
        </is>
      </c>
      <c r="G20" s="13" t="n"/>
      <c r="H20" s="13" t="n"/>
      <c r="I20" s="13" t="n"/>
    </row>
    <row r="21">
      <c r="A21" s="13" t="inlineStr">
        <is>
          <t>中高</t>
        </is>
      </c>
      <c r="B21" s="13" t="inlineStr">
        <is>
          <t>P07</t>
        </is>
      </c>
      <c r="C21" s="15" t="n">
        <v>140760</v>
      </c>
      <c r="D21" s="16">
        <f>C21/1032660</f>
        <v/>
      </c>
      <c r="E21" s="13" t="inlineStr">
        <is>
          <t>—</t>
        </is>
      </c>
      <c r="F21" s="13" t="inlineStr">
        <is>
          <t>—</t>
        </is>
      </c>
      <c r="G21" s="13" t="n"/>
      <c r="H21" s="13" t="n"/>
      <c r="I21" s="13" t="n"/>
    </row>
    <row r="22">
      <c r="A22" s="13" t="inlineStr">
        <is>
          <t>中</t>
        </is>
      </c>
      <c r="B22" s="13" t="inlineStr">
        <is>
          <t>P03,P04</t>
        </is>
      </c>
      <c r="C22" s="15" t="n">
        <v>151060</v>
      </c>
      <c r="D22" s="16">
        <f>C22/1032660</f>
        <v/>
      </c>
      <c r="E22" s="13" t="inlineStr">
        <is>
          <t>—</t>
        </is>
      </c>
      <c r="F22" s="13" t="inlineStr">
        <is>
          <t>—</t>
        </is>
      </c>
      <c r="G22" s="13" t="n"/>
      <c r="H22" s="13" t="n"/>
      <c r="I22" s="13" t="n"/>
    </row>
    <row r="23">
      <c r="A23" s="13" t="inlineStr">
        <is>
          <t>低</t>
        </is>
      </c>
      <c r="B23" s="13" t="inlineStr">
        <is>
          <t>P06</t>
        </is>
      </c>
      <c r="C23" s="15" t="n">
        <v>28800</v>
      </c>
      <c r="D23" s="16">
        <f>C23/1032660</f>
        <v/>
      </c>
      <c r="E23" s="13" t="inlineStr">
        <is>
          <t>—</t>
        </is>
      </c>
      <c r="F23" s="13" t="inlineStr">
        <is>
          <t>—</t>
        </is>
      </c>
      <c r="G23" s="13" t="n"/>
      <c r="H23" s="13" t="n"/>
      <c r="I23" s="13" t="n"/>
    </row>
    <row r="24">
      <c r="A24" s="17" t="inlineStr">
        <is>
          <t>合计</t>
        </is>
      </c>
      <c r="B24" s="17" t="inlineStr"/>
      <c r="C24" s="19">
        <f>SUM(C20:C23)</f>
        <v/>
      </c>
      <c r="D24" s="20">
        <f>C24/1032660</f>
        <v/>
      </c>
      <c r="E24" s="17" t="inlineStr">
        <is>
          <t>—</t>
        </is>
      </c>
      <c r="F24" s="17" t="inlineStr">
        <is>
          <t>应=100%</t>
        </is>
      </c>
      <c r="G24" s="13" t="n"/>
      <c r="H24" s="13" t="n"/>
      <c r="I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</row>
    <row r="26">
      <c r="A26" s="22" t="inlineStr">
        <is>
          <t>外币暴露分解(未调整)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</row>
    <row r="27">
      <c r="A27" s="21" t="inlineStr">
        <is>
          <t>外币资产</t>
        </is>
      </c>
      <c r="B27" s="21" t="inlineStr">
        <is>
          <t>原币金额</t>
        </is>
      </c>
      <c r="C27" s="21" t="inlineStr">
        <is>
          <t>汇率</t>
        </is>
      </c>
      <c r="D27" s="21" t="inlineStr">
        <is>
          <t>折人民币(元)</t>
        </is>
      </c>
      <c r="E27" s="21" t="inlineStr">
        <is>
          <t>权重</t>
        </is>
      </c>
      <c r="F27" s="13" t="n"/>
      <c r="G27" s="13" t="n"/>
      <c r="H27" s="13" t="n"/>
      <c r="I27" s="13" t="n"/>
    </row>
    <row r="28">
      <c r="A28" s="13" t="inlineStr">
        <is>
          <t>P07港股ETF</t>
        </is>
      </c>
      <c r="B28" s="13" t="inlineStr">
        <is>
          <t>153000港币</t>
        </is>
      </c>
      <c r="C28" s="13" t="n">
        <v>0.92</v>
      </c>
      <c r="D28" s="15">
        <f>153000*0.92</f>
        <v/>
      </c>
      <c r="E28" s="16">
        <f>D28/1032660</f>
        <v/>
      </c>
      <c r="F28" s="13" t="n"/>
      <c r="G28" s="13" t="n"/>
      <c r="H28" s="13" t="n"/>
      <c r="I28" s="13" t="n"/>
    </row>
    <row r="29">
      <c r="A29" s="13" t="inlineStr">
        <is>
          <t>美元现金</t>
        </is>
      </c>
      <c r="B29" s="13" t="inlineStr">
        <is>
          <t>3000美元</t>
        </is>
      </c>
      <c r="C29" s="13" t="n">
        <v>7.18</v>
      </c>
      <c r="D29" s="15">
        <f>3000*7.18</f>
        <v/>
      </c>
      <c r="E29" s="16">
        <f>D29/1032660</f>
        <v/>
      </c>
      <c r="F29" s="13" t="n"/>
      <c r="G29" s="13" t="n"/>
      <c r="H29" s="13" t="n"/>
      <c r="I29" s="13" t="n"/>
    </row>
    <row r="30">
      <c r="A30" s="17" t="inlineStr">
        <is>
          <t>外币合计</t>
        </is>
      </c>
      <c r="B30" s="17" t="inlineStr"/>
      <c r="C30" s="17" t="inlineStr"/>
      <c r="D30" s="19">
        <f>SUM(D28:D29)</f>
        <v/>
      </c>
      <c r="E30" s="20">
        <f>D30/1032660</f>
        <v/>
      </c>
      <c r="F30" s="13" t="n"/>
      <c r="G30" s="13" t="n"/>
      <c r="H30" s="13" t="n"/>
      <c r="I30" s="13" t="n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30" customWidth="1" min="6" max="6"/>
  </cols>
  <sheetData>
    <row r="1" ht="28" customHeight="1">
      <c r="A1" s="1" t="inlineStr">
        <is>
          <t>资金转出影响分析 — 5万元转出对现金比例与风险约束的影响</t>
        </is>
      </c>
    </row>
    <row r="3">
      <c r="A3" s="6" t="inlineStr">
        <is>
          <t>项目</t>
        </is>
      </c>
      <c r="B3" s="6" t="inlineStr">
        <is>
          <t>转出前</t>
        </is>
      </c>
      <c r="C3" s="6" t="inlineStr">
        <is>
          <t>转出后(无减仓)</t>
        </is>
      </c>
      <c r="D3" s="6" t="inlineStr">
        <is>
          <t>拟定减仓+转出后</t>
        </is>
      </c>
      <c r="E3" s="6" t="inlineStr">
        <is>
          <t>变化</t>
        </is>
      </c>
      <c r="F3" s="6" t="inlineStr">
        <is>
          <t>说明</t>
        </is>
      </c>
    </row>
    <row r="4">
      <c r="A4" s="13" t="inlineStr">
        <is>
          <t>总资产(元)</t>
        </is>
      </c>
      <c r="B4" s="15" t="n">
        <v>1032660</v>
      </c>
      <c r="C4" s="15">
        <f>1032660-50000</f>
        <v/>
      </c>
      <c r="D4" s="15" t="n">
        <v>982392.23</v>
      </c>
      <c r="E4" s="15">
        <f>D4-B4</f>
        <v/>
      </c>
      <c r="F4" s="13" t="inlineStr">
        <is>
          <t>减仓扣费267.77元+转出50,000元</t>
        </is>
      </c>
    </row>
    <row r="5">
      <c r="A5" s="13" t="inlineStr">
        <is>
          <t>人民币现金(元)</t>
        </is>
      </c>
      <c r="B5" s="15" t="n">
        <v>142500</v>
      </c>
      <c r="C5" s="15">
        <f>142500-50000</f>
        <v/>
      </c>
      <c r="D5" s="15" t="n">
        <v>391752.23</v>
      </c>
      <c r="E5" s="15">
        <f>D5-B5</f>
        <v/>
      </c>
      <c r="F5" s="13" t="inlineStr">
        <is>
          <t>减仓净回笼299,252.23元补充现金</t>
        </is>
      </c>
    </row>
    <row r="6">
      <c r="A6" s="13" t="inlineStr">
        <is>
          <t>现金占比</t>
        </is>
      </c>
      <c r="B6" s="16">
        <f>142500/1032660</f>
        <v/>
      </c>
      <c r="C6" s="16">
        <f>92500/982660</f>
        <v/>
      </c>
      <c r="D6" s="16">
        <f>391752.23/982392.23</f>
        <v/>
      </c>
      <c r="E6" s="16">
        <f>D6-B6</f>
        <v/>
      </c>
      <c r="F6" s="13" t="inlineStr">
        <is>
          <t>转出后无减仓仅9.41%，低于10%下限</t>
        </is>
      </c>
    </row>
    <row r="7">
      <c r="A7" s="13" t="inlineStr">
        <is>
          <t>证券市值(元)</t>
        </is>
      </c>
      <c r="B7" s="15" t="n">
        <v>869820</v>
      </c>
      <c r="C7" s="15" t="n">
        <v>869820</v>
      </c>
      <c r="D7" s="15">
        <f>869820-299520</f>
        <v/>
      </c>
      <c r="E7" s="15">
        <f>D7-B7</f>
        <v/>
      </c>
      <c r="F7" s="13" t="inlineStr">
        <is>
          <t>减仓卖出P07+P05+P01合计299,520元</t>
        </is>
      </c>
    </row>
    <row r="8">
      <c r="A8" s="13" t="inlineStr">
        <is>
          <t>科技主题市值(元)</t>
        </is>
      </c>
      <c r="B8" s="15" t="n">
        <v>689960</v>
      </c>
      <c r="C8" s="15" t="n">
        <v>689960</v>
      </c>
      <c r="D8" s="15" t="n">
        <v>390440</v>
      </c>
      <c r="E8" s="15">
        <f>D8-B8</f>
        <v/>
      </c>
      <c r="F8" s="13" t="inlineStr">
        <is>
          <t>减持科技299,520元</t>
        </is>
      </c>
    </row>
    <row r="9">
      <c r="A9" s="13" t="inlineStr">
        <is>
          <t>科技主题权重</t>
        </is>
      </c>
      <c r="B9" s="16">
        <f>689960/1032660</f>
        <v/>
      </c>
      <c r="C9" s="16">
        <f>689960/982660</f>
        <v/>
      </c>
      <c r="D9" s="16">
        <f>390440/982392.23</f>
        <v/>
      </c>
      <c r="E9" s="16">
        <f>D9-B9</f>
        <v/>
      </c>
      <c r="F9" s="13" t="inlineStr">
        <is>
          <t>转出使分母缩小，权重从66.81%升至70.21%</t>
        </is>
      </c>
    </row>
    <row r="10">
      <c r="A10" s="13" t="inlineStr">
        <is>
          <t>高风险市值(元)</t>
        </is>
      </c>
      <c r="B10" s="15" t="n">
        <v>549200</v>
      </c>
      <c r="C10" s="15" t="n">
        <v>549200</v>
      </c>
      <c r="D10" s="15" t="n">
        <v>364200</v>
      </c>
      <c r="E10" s="15">
        <f>D10-B10</f>
        <v/>
      </c>
      <c r="F10" s="13" t="inlineStr">
        <is>
          <t>减持P01+P05合计158,760元</t>
        </is>
      </c>
    </row>
    <row r="11">
      <c r="A11" s="13" t="inlineStr">
        <is>
          <t>高风险权重</t>
        </is>
      </c>
      <c r="B11" s="16">
        <f>549200/1032660</f>
        <v/>
      </c>
      <c r="C11" s="16">
        <f>549200/982660</f>
        <v/>
      </c>
      <c r="D11" s="16">
        <f>364200/982392.23</f>
        <v/>
      </c>
      <c r="E11" s="16">
        <f>D11-B11</f>
        <v/>
      </c>
      <c r="F11" s="13" t="inlineStr"/>
    </row>
    <row r="12">
      <c r="A12" s="13" t="inlineStr">
        <is>
          <t>外币资产(元)</t>
        </is>
      </c>
      <c r="B12" s="15" t="n">
        <v>162300</v>
      </c>
      <c r="C12" s="15" t="n">
        <v>162300</v>
      </c>
      <c r="D12" s="15" t="n">
        <v>21540</v>
      </c>
      <c r="E12" s="15">
        <f>D12-B12</f>
        <v/>
      </c>
      <c r="F12" s="13" t="inlineStr">
        <is>
          <t>P07全清后仅剩美元现金21,540元</t>
        </is>
      </c>
    </row>
    <row r="13">
      <c r="A13" s="13" t="inlineStr">
        <is>
          <t>外币权重</t>
        </is>
      </c>
      <c r="B13" s="16">
        <f>162300/1032660</f>
        <v/>
      </c>
      <c r="C13" s="16">
        <f>162300/982660</f>
        <v/>
      </c>
      <c r="D13" s="16">
        <f>21540/982392.23</f>
        <v/>
      </c>
      <c r="E13" s="16">
        <f>D13-B13</f>
        <v/>
      </c>
      <c r="F13" s="13" t="inlineStr"/>
    </row>
    <row r="14">
      <c r="A14" s="13" t="n"/>
      <c r="B14" s="13" t="n"/>
      <c r="C14" s="13" t="n"/>
      <c r="D14" s="13" t="n"/>
      <c r="E14" s="13" t="n"/>
      <c r="F14" s="13" t="n"/>
    </row>
    <row r="15">
      <c r="A15" s="22" t="inlineStr">
        <is>
          <t>优先处理持仓及理由</t>
        </is>
      </c>
      <c r="B15" s="23" t="n"/>
      <c r="C15" s="23" t="n"/>
      <c r="D15" s="23" t="n"/>
      <c r="E15" s="23" t="n"/>
      <c r="F15" s="23" t="n"/>
    </row>
    <row r="16" ht="48" customHeight="1">
      <c r="A16" s="21" t="inlineStr">
        <is>
          <t>P07(港股ETF)</t>
        </is>
      </c>
      <c r="B16" s="13" t="inlineStr">
        <is>
          <t>第一优先</t>
        </is>
      </c>
      <c r="C16" s="3" t="inlineStr">
        <is>
          <t>外币超限+科技超限双重约束；全部卖出可同时解决外币约束并大幅削减科技敞口；流动性好(日均1.25亿元)，无T+1限制；500份整数交易，10000份可全部卖出。</t>
        </is>
      </c>
      <c r="D16" s="11" t="n"/>
      <c r="E16" s="11" t="n"/>
      <c r="F16" s="12" t="n"/>
    </row>
    <row r="17" ht="48" customHeight="1">
      <c r="A17" s="21" t="inlineStr">
        <is>
          <t>P01(A股电子)</t>
        </is>
      </c>
      <c r="B17" s="13" t="inlineStr">
        <is>
          <t>第二优先</t>
        </is>
      </c>
      <c r="C17" s="3" t="inlineStr">
        <is>
          <t>科技+高风险双约束；4000股今日可卖，8/17全部5000股可卖；流动性好(日均8600万元)；卖出可同时降低科技和高风险敞口。按FIFO卖出批次1(2500股@43.20)、批次2(1500股@37.50)、批次3(200股@31.90)。</t>
        </is>
      </c>
      <c r="D17" s="11" t="n"/>
      <c r="E17" s="11" t="n"/>
      <c r="F17" s="12" t="n"/>
    </row>
    <row r="18" ht="48" customHeight="1">
      <c r="A18" s="21" t="inlineStr">
        <is>
          <t>P05(A股计算机)</t>
        </is>
      </c>
      <c r="B18" s="13" t="inlineStr">
        <is>
          <t>第三优先(最低必要)</t>
        </is>
      </c>
      <c r="C18" s="3" t="inlineStr">
        <is>
          <t>单票超限(20.34%)必须减持；仅卖出最低必要数量200股即可回到限内；组合经理'长期看好暂不减持'未经审批，不替代已批准上限。</t>
        </is>
      </c>
      <c r="D18" s="11" t="n"/>
      <c r="E18" s="11" t="n"/>
      <c r="F18" s="12" t="n"/>
    </row>
    <row r="19" ht="48" customHeight="1">
      <c r="A19" s="21" t="inlineStr">
        <is>
          <t>P02(A股计算机)</t>
        </is>
      </c>
      <c r="B19" s="13" t="inlineStr">
        <is>
          <t>不可依赖</t>
        </is>
      </c>
      <c r="C19" s="3" t="inlineStr">
        <is>
          <t>8/14收盘跌停封单，次日能否成交不确定；不得写成已可成交；若8/17打开跌停可作为备选减仓标的，但主方案不依赖其成交。</t>
        </is>
      </c>
      <c r="D19" s="11" t="n"/>
      <c r="E19" s="11" t="n"/>
      <c r="F19" s="12" t="n"/>
    </row>
    <row r="20" ht="48" customHeight="1">
      <c r="A20" s="21" t="inlineStr">
        <is>
          <t>P04(A股工业)</t>
        </is>
      </c>
      <c r="B20" s="13" t="inlineStr">
        <is>
          <t>不可交易</t>
        </is>
      </c>
      <c r="C20" s="3" t="inlineStr">
        <is>
          <t>8/14起停牌，复牌日未定，可卖数量为0；不得纳入减仓计划；复牌后需重新评估价格与流动性。</t>
        </is>
      </c>
      <c r="D20" s="11" t="n"/>
      <c r="E20" s="11" t="n"/>
      <c r="F20" s="12" t="n"/>
    </row>
    <row r="21" ht="48" customHeight="1">
      <c r="A21" s="21" t="inlineStr">
        <is>
          <t>P03/P06</t>
        </is>
      </c>
      <c r="B21" s="13" t="inlineStr">
        <is>
          <t>不需减持</t>
        </is>
      </c>
      <c r="C21" s="3" t="inlineStr">
        <is>
          <t>P03(医药/防御)和P06(红利/低风险)不属于科技或高风险，减持它们不能解决核心约束；P06流动性极好但卖出仅补充现金，不降低科技敞口，当前现金已通过减仓科技满足。</t>
        </is>
      </c>
      <c r="D21" s="11" t="n"/>
      <c r="E21" s="11" t="n"/>
      <c r="F21" s="12" t="n"/>
    </row>
  </sheetData>
  <mergeCells count="7">
    <mergeCell ref="C18:F18"/>
    <mergeCell ref="C17:F17"/>
    <mergeCell ref="A1:F1"/>
    <mergeCell ref="C20:F20"/>
    <mergeCell ref="C21:F21"/>
    <mergeCell ref="C16:F16"/>
    <mergeCell ref="C19:F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20" customWidth="1" min="4" max="4"/>
    <col width="16" customWidth="1" min="5" max="5"/>
    <col width="30" customWidth="1" min="6" max="6"/>
  </cols>
  <sheetData>
    <row r="1" ht="28" customHeight="1">
      <c r="A1" s="1" t="inlineStr">
        <is>
          <t>交易日历 — 从as-of到最迟行动日</t>
        </is>
      </c>
    </row>
    <row r="3">
      <c r="A3" s="6" t="inlineStr">
        <is>
          <t>日历日</t>
        </is>
      </c>
      <c r="B3" s="6" t="inlineStr">
        <is>
          <t>星期</t>
        </is>
      </c>
      <c r="C3" s="6" t="inlineStr">
        <is>
          <t>是否交易日</t>
        </is>
      </c>
      <c r="D3" s="6" t="inlineStr">
        <is>
          <t>可执行时段说明</t>
        </is>
      </c>
      <c r="E3" s="6" t="inlineStr">
        <is>
          <t>资金可用/可划转</t>
        </is>
      </c>
      <c r="F3" s="6" t="inlineStr">
        <is>
          <t>备注(解冻/到账/截止)</t>
        </is>
      </c>
    </row>
    <row r="4">
      <c r="A4" s="13" t="inlineStr">
        <is>
          <t>2026-08-14</t>
        </is>
      </c>
      <c r="B4" s="13" t="inlineStr">
        <is>
          <t>周五</t>
        </is>
      </c>
      <c r="C4" s="13" t="inlineStr">
        <is>
          <t>是</t>
        </is>
      </c>
      <c r="D4" s="13" t="inlineStr">
        <is>
          <t>沪深9:30-11:30,13:00-15:00；港股9:30-12:00,13:00-16:00</t>
        </is>
      </c>
      <c r="E4" s="13" t="inlineStr">
        <is>
          <t>当日卖出资金T+1可用</t>
        </is>
      </c>
      <c r="F4" s="13" t="inlineStr">
        <is>
          <t>资料截点；P01买入1000股(T+1)；P02跌停；P04停牌；P06除权</t>
        </is>
      </c>
    </row>
    <row r="5">
      <c r="A5" s="13" t="inlineStr">
        <is>
          <t>2026-08-15</t>
        </is>
      </c>
      <c r="B5" s="13" t="inlineStr">
        <is>
          <t>周六</t>
        </is>
      </c>
      <c r="C5" s="13" t="inlineStr">
        <is>
          <t>否</t>
        </is>
      </c>
      <c r="D5" s="13" t="inlineStr">
        <is>
          <t>休市</t>
        </is>
      </c>
      <c r="E5" s="13" t="inlineStr">
        <is>
          <t>不可划转</t>
        </is>
      </c>
      <c r="F5" s="13" t="inlineStr">
        <is>
          <t>非交易日</t>
        </is>
      </c>
    </row>
    <row r="6">
      <c r="A6" s="13" t="inlineStr">
        <is>
          <t>2026-08-16</t>
        </is>
      </c>
      <c r="B6" s="13" t="inlineStr">
        <is>
          <t>周日</t>
        </is>
      </c>
      <c r="C6" s="13" t="inlineStr">
        <is>
          <t>否</t>
        </is>
      </c>
      <c r="D6" s="13" t="inlineStr">
        <is>
          <t>休市</t>
        </is>
      </c>
      <c r="E6" s="13" t="inlineStr">
        <is>
          <t>不可划转</t>
        </is>
      </c>
      <c r="F6" s="13" t="inlineStr">
        <is>
          <t>非交易日</t>
        </is>
      </c>
    </row>
    <row r="7">
      <c r="A7" s="13" t="inlineStr">
        <is>
          <t>2026-08-17</t>
        </is>
      </c>
      <c r="B7" s="13" t="inlineStr">
        <is>
          <t>周一</t>
        </is>
      </c>
      <c r="C7" s="13" t="inlineStr">
        <is>
          <t>是</t>
        </is>
      </c>
      <c r="D7" s="13" t="inlineStr">
        <is>
          <t>沪深9:30-11:30,13:00-15:00；港股9:30-12:00,13:00-16:00</t>
        </is>
      </c>
      <c r="E7" s="13" t="inlineStr">
        <is>
          <t>8/14卖出资金可用；当日卖出资金T+1可用</t>
        </is>
      </c>
      <c r="F7" s="29" t="inlineStr">
        <is>
          <t>★客户确认净转出5万元截止日；P01 T+1股份解冻可卖；减仓执行日；P02跌停状态待观察</t>
        </is>
      </c>
    </row>
    <row r="8">
      <c r="A8" s="13" t="inlineStr">
        <is>
          <t>2026-08-18</t>
        </is>
      </c>
      <c r="B8" s="13" t="inlineStr">
        <is>
          <t>周二</t>
        </is>
      </c>
      <c r="C8" s="13" t="inlineStr">
        <is>
          <t>是</t>
        </is>
      </c>
      <c r="D8" s="13" t="inlineStr">
        <is>
          <t>正常交易时段</t>
        </is>
      </c>
      <c r="E8" s="13" t="inlineStr">
        <is>
          <t>8/17卖出资金可用</t>
        </is>
      </c>
      <c r="F8" s="13" t="inlineStr">
        <is>
          <t>减仓后复核日；若8/17未成交可继续执行</t>
        </is>
      </c>
    </row>
    <row r="9">
      <c r="A9" s="13" t="inlineStr">
        <is>
          <t>2026-08-19</t>
        </is>
      </c>
      <c r="B9" s="13" t="inlineStr">
        <is>
          <t>周三</t>
        </is>
      </c>
      <c r="C9" s="13" t="inlineStr">
        <is>
          <t>是</t>
        </is>
      </c>
      <c r="D9" s="13" t="inlineStr">
        <is>
          <t>正常交易时段</t>
        </is>
      </c>
      <c r="E9" s="13" t="inlineStr">
        <is>
          <t>正常</t>
        </is>
      </c>
      <c r="F9" s="13" t="inlineStr">
        <is>
          <t>约束达标复核日</t>
        </is>
      </c>
    </row>
    <row r="10">
      <c r="A10" s="13" t="inlineStr">
        <is>
          <t>2026-08-20</t>
        </is>
      </c>
      <c r="B10" s="13" t="inlineStr">
        <is>
          <t>周四</t>
        </is>
      </c>
      <c r="C10" s="13" t="inlineStr">
        <is>
          <t>是</t>
        </is>
      </c>
      <c r="D10" s="13" t="inlineStr">
        <is>
          <t>正常交易时段</t>
        </is>
      </c>
      <c r="E10" s="13" t="inlineStr">
        <is>
          <t>正常</t>
        </is>
      </c>
      <c r="F10" s="13" t="inlineStr">
        <is>
          <t>监控日</t>
        </is>
      </c>
    </row>
    <row r="11">
      <c r="A11" s="13" t="inlineStr">
        <is>
          <t>2026-08-21</t>
        </is>
      </c>
      <c r="B11" s="13" t="inlineStr">
        <is>
          <t>周五</t>
        </is>
      </c>
      <c r="C11" s="13" t="inlineStr">
        <is>
          <t>是</t>
        </is>
      </c>
      <c r="D11" s="13" t="inlineStr">
        <is>
          <t>正常交易时段</t>
        </is>
      </c>
      <c r="E11" s="13" t="inlineStr">
        <is>
          <t>正常</t>
        </is>
      </c>
      <c r="F11" s="13" t="inlineStr">
        <is>
          <t>本周最后交易日；全面复核日</t>
        </is>
      </c>
    </row>
    <row r="12">
      <c r="A12" s="13" t="n"/>
      <c r="B12" s="13" t="n"/>
      <c r="C12" s="13" t="n"/>
      <c r="D12" s="13" t="n"/>
      <c r="E12" s="13" t="n"/>
      <c r="F12" s="13" t="n"/>
    </row>
    <row r="13">
      <c r="A13" s="22" t="inlineStr">
        <is>
          <t>关键时点说明</t>
        </is>
      </c>
      <c r="B13" s="23" t="n"/>
      <c r="C13" s="23" t="n"/>
      <c r="D13" s="23" t="n"/>
      <c r="E13" s="23" t="n"/>
      <c r="F13" s="23" t="n"/>
    </row>
    <row r="14" ht="28" customHeight="1">
      <c r="A14" s="3" t="inlineStr">
        <is>
          <t>1. as-of = 2026-08-14(周五)收盘后；所有'当前可执行'操作实际应在下一交易日(8/17周一)执行。</t>
        </is>
      </c>
      <c r="B14" s="11" t="n"/>
      <c r="C14" s="11" t="n"/>
      <c r="D14" s="11" t="n"/>
      <c r="E14" s="11" t="n"/>
      <c r="F14" s="12" t="n"/>
    </row>
    <row r="15" ht="28" customHeight="1">
      <c r="A15" s="3" t="inlineStr">
        <is>
          <t>2. P01于8/14买入的1000股按T+1管理，8/17(周一)方可卖出；8/17时P01全部5000股可卖。</t>
        </is>
      </c>
      <c r="B15" s="11" t="n"/>
      <c r="C15" s="11" t="n"/>
      <c r="D15" s="11" t="n"/>
      <c r="E15" s="11" t="n"/>
      <c r="F15" s="12" t="n"/>
    </row>
    <row r="16" ht="28" customHeight="1">
      <c r="A16" s="3" t="inlineStr">
        <is>
          <t>3. 8/17为客户确认的5万元转出截止日，必须在当日交易时段内完成减仓并确保资金可划转。</t>
        </is>
      </c>
      <c r="B16" s="11" t="n"/>
      <c r="C16" s="11" t="n"/>
      <c r="D16" s="11" t="n"/>
      <c r="E16" s="11" t="n"/>
      <c r="F16" s="12" t="n"/>
    </row>
    <row r="17" ht="28" customHeight="1">
      <c r="A17" s="3" t="inlineStr">
        <is>
          <t>4. A股卖出资金T+1交收：8/17卖出的资金8/18方可转出；因此5万元转出应优先使用账上已有现金142,500元，减仓回笼资金用于补充现金比例。</t>
        </is>
      </c>
      <c r="B17" s="11" t="n"/>
      <c r="C17" s="11" t="n"/>
      <c r="D17" s="11" t="n"/>
      <c r="E17" s="11" t="n"/>
      <c r="F17" s="12" t="n"/>
    </row>
    <row r="18" ht="28" customHeight="1">
      <c r="A18" s="3" t="inlineStr">
        <is>
          <t>5. P02若8/17继续跌停，无法成交；主方案不依赖P02卖出。</t>
        </is>
      </c>
      <c r="B18" s="11" t="n"/>
      <c r="C18" s="11" t="n"/>
      <c r="D18" s="11" t="n"/>
      <c r="E18" s="11" t="n"/>
      <c r="F18" s="12" t="n"/>
    </row>
    <row r="19" ht="28" customHeight="1">
      <c r="A19" s="3" t="inlineStr">
        <is>
          <t>6. P04停牌期间可卖数量为0，复牌日未确定，不得纳入减仓计划。</t>
        </is>
      </c>
      <c r="B19" s="11" t="n"/>
      <c r="C19" s="11" t="n"/>
      <c r="D19" s="11" t="n"/>
      <c r="E19" s="11" t="n"/>
      <c r="F19" s="12" t="n"/>
    </row>
  </sheetData>
  <mergeCells count="7">
    <mergeCell ref="A16:F16"/>
    <mergeCell ref="A19:F19"/>
    <mergeCell ref="A14:F14"/>
    <mergeCell ref="A1:F1"/>
    <mergeCell ref="A17:F17"/>
    <mergeCell ref="A18:F18"/>
    <mergeCell ref="A15:F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0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4" customWidth="1" min="10" max="10"/>
    <col width="14" customWidth="1" min="11" max="11"/>
    <col width="14" customWidth="1" min="12" max="12"/>
    <col width="12" customWidth="1" min="13" max="13"/>
    <col width="24" customWidth="1" min="14" max="14"/>
  </cols>
  <sheetData>
    <row r="1" ht="28" customHeight="1">
      <c r="A1" s="1" t="inlineStr">
        <is>
          <t>调仓方案与交易明细 — 拟定减仓方案(执行日: 2026-08-17 周一)</t>
        </is>
      </c>
    </row>
    <row r="3">
      <c r="A3" s="6" t="inlineStr">
        <is>
          <t>证券ID</t>
        </is>
      </c>
      <c r="B3" s="6" t="inlineStr">
        <is>
          <t>证券名称/类型</t>
        </is>
      </c>
      <c r="C3" s="6" t="inlineStr">
        <is>
          <t>卖出数量</t>
        </is>
      </c>
      <c r="D3" s="6" t="inlineStr">
        <is>
          <t>委托价格</t>
        </is>
      </c>
      <c r="E3" s="6" t="inlineStr">
        <is>
          <t>价格币种</t>
        </is>
      </c>
      <c r="F3" s="6" t="inlineStr">
        <is>
          <t>成交金额(元)</t>
        </is>
      </c>
      <c r="G3" s="6" t="inlineStr">
        <is>
          <t>佣金(元)</t>
        </is>
      </c>
      <c r="H3" s="6" t="inlineStr">
        <is>
          <t>印花税(元)</t>
        </is>
      </c>
      <c r="I3" s="6" t="inlineStr">
        <is>
          <t>其他费用(元)</t>
        </is>
      </c>
      <c r="J3" s="6" t="inlineStr">
        <is>
          <t>费用合计(元)</t>
        </is>
      </c>
      <c r="K3" s="6" t="inlineStr">
        <is>
          <t>净回笼(元)</t>
        </is>
      </c>
      <c r="L3" s="6" t="inlineStr">
        <is>
          <t>卖出成本(元)</t>
        </is>
      </c>
      <c r="M3" s="6" t="inlineStr">
        <is>
          <t>实现盈亏(元)</t>
        </is>
      </c>
      <c r="N3" s="6" t="inlineStr">
        <is>
          <t>卖出批次/备注</t>
        </is>
      </c>
    </row>
    <row r="4">
      <c r="A4" s="13" t="inlineStr">
        <is>
          <t>P07</t>
        </is>
      </c>
      <c r="B4" s="13" t="inlineStr">
        <is>
          <t>港股ETF/海外科技</t>
        </is>
      </c>
      <c r="C4" s="14" t="n">
        <v>10000</v>
      </c>
      <c r="D4" s="15" t="n">
        <v>15.3</v>
      </c>
      <c r="E4" s="13" t="inlineStr">
        <is>
          <t>港币</t>
        </is>
      </c>
      <c r="F4" s="15">
        <f>10000*15.30*0.92</f>
        <v/>
      </c>
      <c r="G4" s="15" t="n">
        <v>0</v>
      </c>
      <c r="H4" s="15" t="n">
        <v>0</v>
      </c>
      <c r="I4" s="15">
        <f>F4*0.001</f>
        <v/>
      </c>
      <c r="J4" s="15">
        <f>G4+H4+I4</f>
        <v/>
      </c>
      <c r="K4" s="15">
        <f>F4-J4</f>
        <v/>
      </c>
      <c r="L4" s="15">
        <f>10000*16.40*0.92</f>
        <v/>
      </c>
      <c r="M4" s="15">
        <f>F4-L4-J4</f>
        <v/>
      </c>
      <c r="N4" s="13" t="inlineStr">
        <is>
          <t>全部卖出；500份整数×20手；综合费率0.10%</t>
        </is>
      </c>
    </row>
    <row r="5">
      <c r="A5" s="13" t="inlineStr">
        <is>
          <t>P05</t>
        </is>
      </c>
      <c r="B5" s="13" t="inlineStr">
        <is>
          <t>A股/计算机</t>
        </is>
      </c>
      <c r="C5" s="14" t="n">
        <v>200</v>
      </c>
      <c r="D5" s="15" t="n">
        <v>105</v>
      </c>
      <c r="E5" s="13" t="inlineStr">
        <is>
          <t>人民币</t>
        </is>
      </c>
      <c r="F5" s="15">
        <f>200*105</f>
        <v/>
      </c>
      <c r="G5" s="15">
        <f>MAX(F5*0.0003,5)</f>
        <v/>
      </c>
      <c r="H5" s="15">
        <f>F5*0.0005</f>
        <v/>
      </c>
      <c r="I5" s="15" t="n">
        <v>0</v>
      </c>
      <c r="J5" s="15">
        <f>G5+H5+I5</f>
        <v/>
      </c>
      <c r="K5" s="15">
        <f>F5-J5</f>
        <v/>
      </c>
      <c r="L5" s="15">
        <f>200*82.40</f>
        <v/>
      </c>
      <c r="M5" s="15">
        <f>F5-L5-J5</f>
        <v/>
      </c>
      <c r="N5" s="13" t="inlineStr">
        <is>
          <t>最低必要减持(单票超限)；100股整数×2手；FIFO</t>
        </is>
      </c>
    </row>
    <row r="6">
      <c r="A6" s="13" t="inlineStr">
        <is>
          <t>P01</t>
        </is>
      </c>
      <c r="B6" s="13" t="inlineStr">
        <is>
          <t>A股/电子</t>
        </is>
      </c>
      <c r="C6" s="14" t="n">
        <v>4200</v>
      </c>
      <c r="D6" s="15" t="n">
        <v>32.8</v>
      </c>
      <c r="E6" s="13" t="inlineStr">
        <is>
          <t>人民币</t>
        </is>
      </c>
      <c r="F6" s="15">
        <f>4200*32.80</f>
        <v/>
      </c>
      <c r="G6" s="15">
        <f>MAX(F6*0.0003,5)</f>
        <v/>
      </c>
      <c r="H6" s="15">
        <f>F6*0.0005</f>
        <v/>
      </c>
      <c r="I6" s="15" t="n">
        <v>0</v>
      </c>
      <c r="J6" s="15">
        <f>G6+H6+I6</f>
        <v/>
      </c>
      <c r="K6" s="15">
        <f>F6-J6</f>
        <v/>
      </c>
      <c r="L6" s="15">
        <f>2500*43.20+1500*37.50+200*31.90</f>
        <v/>
      </c>
      <c r="M6" s="15">
        <f>F6-L6-J6</f>
        <v/>
      </c>
      <c r="N6" s="13" t="inlineStr">
        <is>
          <t>FIFO:批次1(2500@43.20)+批次2(1500@37.50)+批次3(200@31.90)；100股整数×42手</t>
        </is>
      </c>
    </row>
    <row r="7">
      <c r="A7" s="17" t="inlineStr">
        <is>
          <t>合计</t>
        </is>
      </c>
      <c r="B7" s="17" t="n"/>
      <c r="C7" s="18">
        <f>SUM(C4:C6)</f>
        <v/>
      </c>
      <c r="D7" s="17" t="n"/>
      <c r="E7" s="17" t="n"/>
      <c r="F7" s="19">
        <f>SUM(F4:F6)</f>
        <v/>
      </c>
      <c r="G7" s="19">
        <f>SUM(G4:G6)</f>
        <v/>
      </c>
      <c r="H7" s="19">
        <f>SUM(H4:H6)</f>
        <v/>
      </c>
      <c r="I7" s="19">
        <f>SUM(I4:I6)</f>
        <v/>
      </c>
      <c r="J7" s="19">
        <f>SUM(J4:J6)</f>
        <v/>
      </c>
      <c r="K7" s="19">
        <f>SUM(K4:K6)</f>
        <v/>
      </c>
      <c r="L7" s="19">
        <f>SUM(L4:L6)</f>
        <v/>
      </c>
      <c r="M7" s="19">
        <f>SUM(M4:M6)</f>
        <v/>
      </c>
      <c r="N7" s="17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A9" s="22" t="inlineStr">
        <is>
          <t>费用勾稽核验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  <c r="L9" s="23" t="n"/>
      <c r="M9" s="23" t="n"/>
      <c r="N9" s="23" t="n"/>
    </row>
    <row r="10">
      <c r="A10" s="13" t="inlineStr">
        <is>
          <t>P07隐含费率</t>
        </is>
      </c>
      <c r="B10" s="30">
        <f>J4/F4</f>
        <v/>
      </c>
      <c r="C10" s="13" t="inlineStr">
        <is>
          <t>题设0.10%</t>
        </is>
      </c>
      <c r="D10" s="13">
        <f>IF(ABS(B10-0.001)&lt;0.0001,"一致","差异")</f>
        <v/>
      </c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13" t="inlineStr">
        <is>
          <t>P05隐含费率</t>
        </is>
      </c>
      <c r="B11" s="30">
        <f>J5/F5</f>
        <v/>
      </c>
      <c r="C11" s="13" t="inlineStr">
        <is>
          <t>佣金0.03%(最低5元)+印花税0.05%</t>
        </is>
      </c>
      <c r="D11" s="13">
        <f>IF(ABS(B11-(6.3+10.5)/21000)&lt;0.0001,"一致","差异")</f>
        <v/>
      </c>
      <c r="E11" s="13" t="n"/>
      <c r="F11" s="13" t="n"/>
      <c r="G11" s="13" t="n"/>
      <c r="H11" s="13" t="n"/>
      <c r="I11" s="13" t="n"/>
      <c r="J11" s="13" t="n"/>
      <c r="K11" s="13" t="n"/>
      <c r="L11" s="13" t="n"/>
      <c r="M11" s="13" t="n"/>
      <c r="N11" s="13" t="n"/>
    </row>
    <row r="12">
      <c r="A12" s="13" t="inlineStr">
        <is>
          <t>P01隐含费率</t>
        </is>
      </c>
      <c r="B12" s="30">
        <f>J6/F6</f>
        <v/>
      </c>
      <c r="C12" s="13" t="inlineStr">
        <is>
          <t>佣金0.03%+印花税0.05%</t>
        </is>
      </c>
      <c r="D12" s="13">
        <f>IF(ABS(B12-0.0008)&lt;0.0001,"一致","差异")</f>
        <v/>
      </c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13" t="n"/>
      <c r="B13" s="13" t="n"/>
      <c r="C13" s="13" t="n"/>
      <c r="D13" s="13" t="n"/>
      <c r="E13" s="13" t="n"/>
      <c r="F13" s="13" t="n"/>
      <c r="G13" s="13" t="n"/>
      <c r="H13" s="13" t="n"/>
      <c r="I13" s="13" t="n"/>
      <c r="J13" s="13" t="n"/>
      <c r="K13" s="13" t="n"/>
      <c r="L13" s="13" t="n"/>
      <c r="M13" s="13" t="n"/>
      <c r="N13" s="13" t="n"/>
    </row>
    <row r="14">
      <c r="A14" s="22" t="inlineStr">
        <is>
          <t>调整后组合状态(减仓+5万元转出后)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</row>
    <row r="15">
      <c r="A15" s="21" t="inlineStr">
        <is>
          <t>项目</t>
        </is>
      </c>
      <c r="B15" s="21" t="inlineStr">
        <is>
          <t>金额(元)</t>
        </is>
      </c>
      <c r="C15" s="21" t="inlineStr">
        <is>
          <t>说明</t>
        </is>
      </c>
      <c r="D15" s="13" t="n"/>
      <c r="E15" s="13" t="n"/>
      <c r="F15" s="13" t="n"/>
      <c r="G15" s="13" t="n"/>
      <c r="H15" s="13" t="n"/>
      <c r="I15" s="13" t="n"/>
      <c r="J15" s="13" t="n"/>
      <c r="K15" s="13" t="n"/>
      <c r="L15" s="13" t="n"/>
      <c r="M15" s="13" t="n"/>
      <c r="N15" s="13" t="n"/>
    </row>
    <row r="16">
      <c r="A16" s="13" t="inlineStr">
        <is>
          <t>减仓成交总额</t>
        </is>
      </c>
      <c r="B16" s="15">
        <f>F7</f>
        <v/>
      </c>
      <c r="C16" s="13" t="inlineStr">
        <is>
          <t>P07+P05+P01卖出毛额</t>
        </is>
      </c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A17" s="13" t="inlineStr">
        <is>
          <t>减仓费用合计</t>
        </is>
      </c>
      <c r="B17" s="15">
        <f>J7</f>
        <v/>
      </c>
      <c r="C17" s="13" t="inlineStr">
        <is>
          <t>佣金+印花税+港股综合费</t>
        </is>
      </c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</row>
    <row r="18">
      <c r="A18" s="13" t="inlineStr">
        <is>
          <t>减仓净回笼</t>
        </is>
      </c>
      <c r="B18" s="15">
        <f>K7</f>
        <v/>
      </c>
      <c r="C18" s="13" t="inlineStr">
        <is>
          <t>成交总额-费用</t>
        </is>
      </c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A19" s="13" t="inlineStr">
        <is>
          <t>减仓实现盈亏(扣费后)</t>
        </is>
      </c>
      <c r="B19" s="15">
        <f>M7</f>
        <v/>
      </c>
      <c r="C19" s="13" t="inlineStr">
        <is>
          <t>负数为净亏损</t>
        </is>
      </c>
      <c r="D19" s="13" t="n"/>
      <c r="E19" s="13" t="n"/>
      <c r="F19" s="13" t="n"/>
      <c r="G19" s="13" t="n"/>
      <c r="H19" s="13" t="n"/>
      <c r="I19" s="13" t="n"/>
      <c r="J19" s="13" t="n"/>
      <c r="K19" s="13" t="n"/>
      <c r="L19" s="13" t="n"/>
      <c r="M19" s="13" t="n"/>
      <c r="N19" s="13" t="n"/>
    </row>
    <row r="20">
      <c r="A20" s="13" t="inlineStr">
        <is>
          <t>转出资金</t>
        </is>
      </c>
      <c r="B20" s="15" t="n">
        <v>50000</v>
      </c>
      <c r="C20" s="13" t="inlineStr">
        <is>
          <t>客户确认8/17净转出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>
      <c r="A21" s="13" t="inlineStr">
        <is>
          <t>调整后总资产</t>
        </is>
      </c>
      <c r="B21" s="15">
        <f>1032660-B20-B17</f>
        <v/>
      </c>
      <c r="C21" s="13" t="inlineStr">
        <is>
          <t>原总资产-转出-费用</t>
        </is>
      </c>
      <c r="D21" s="13" t="n"/>
      <c r="E21" s="13" t="n"/>
      <c r="F21" s="13" t="n"/>
      <c r="G21" s="13" t="n"/>
      <c r="H21" s="13" t="n"/>
      <c r="I21" s="13" t="n"/>
      <c r="J21" s="13" t="n"/>
      <c r="K21" s="13" t="n"/>
      <c r="L21" s="13" t="n"/>
      <c r="M21" s="13" t="n"/>
      <c r="N21" s="13" t="n"/>
    </row>
    <row r="22">
      <c r="A22" s="13" t="inlineStr">
        <is>
          <t>调整后人民币现金</t>
        </is>
      </c>
      <c r="B22" s="15">
        <f>142500+B18-B20</f>
        <v/>
      </c>
      <c r="C22" s="13" t="inlineStr">
        <is>
          <t>原现金+净回笼-转出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A23" s="13" t="inlineStr">
        <is>
          <t>调整后现金占比</t>
        </is>
      </c>
      <c r="B23" s="16">
        <f>B22/B21</f>
        <v/>
      </c>
      <c r="C23" s="13" t="inlineStr">
        <is>
          <t>人民币现金/总资产</t>
        </is>
      </c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>
      <c r="A24" s="13" t="inlineStr">
        <is>
          <t>调整后证券市值</t>
        </is>
      </c>
      <c r="B24" s="15">
        <f>869820-B16</f>
        <v/>
      </c>
      <c r="C24" s="13" t="inlineStr">
        <is>
          <t>原市值-减仓成交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>
      <c r="A25" s="13" t="n"/>
      <c r="B25" s="13" t="n"/>
      <c r="C25" s="13" t="n"/>
      <c r="D25" s="13" t="n"/>
      <c r="E25" s="13" t="n"/>
      <c r="F25" s="13" t="n"/>
      <c r="G25" s="13" t="n"/>
      <c r="H25" s="13" t="n"/>
      <c r="I25" s="13" t="n"/>
      <c r="J25" s="13" t="n"/>
      <c r="K25" s="13" t="n"/>
      <c r="L25" s="13" t="n"/>
      <c r="M25" s="13" t="n"/>
      <c r="N25" s="13" t="n"/>
    </row>
    <row r="26">
      <c r="A26" s="22" t="inlineStr">
        <is>
          <t>调整后持仓明细</t>
        </is>
      </c>
      <c r="B26" s="23" t="n"/>
      <c r="C26" s="23" t="n"/>
      <c r="D26" s="23" t="n"/>
      <c r="E26" s="23" t="n"/>
      <c r="F26" s="23" t="n"/>
      <c r="G26" s="23" t="n"/>
      <c r="H26" s="23" t="n"/>
      <c r="I26" s="23" t="n"/>
      <c r="J26" s="23" t="n"/>
      <c r="K26" s="23" t="n"/>
      <c r="L26" s="23" t="n"/>
      <c r="M26" s="23" t="n"/>
      <c r="N26" s="23" t="n"/>
    </row>
    <row r="27">
      <c r="A27" s="21" t="inlineStr">
        <is>
          <t>证券ID</t>
        </is>
      </c>
      <c r="B27" s="21" t="inlineStr">
        <is>
          <t>剩余数量</t>
        </is>
      </c>
      <c r="C27" s="21" t="inlineStr">
        <is>
          <t>当前价格</t>
        </is>
      </c>
      <c r="D27" s="21" t="inlineStr">
        <is>
          <t>市值(元)</t>
        </is>
      </c>
      <c r="E27" s="21" t="inlineStr">
        <is>
          <t>权重</t>
        </is>
      </c>
      <c r="F27" s="21" t="inlineStr">
        <is>
          <t>主题</t>
        </is>
      </c>
      <c r="G27" s="21" t="inlineStr">
        <is>
          <t>风险等级</t>
        </is>
      </c>
      <c r="H27" s="13" t="n"/>
      <c r="I27" s="13" t="n"/>
      <c r="J27" s="13" t="n"/>
      <c r="K27" s="13" t="n"/>
      <c r="L27" s="13" t="n"/>
      <c r="M27" s="13" t="n"/>
      <c r="N27" s="13" t="n"/>
    </row>
    <row r="28">
      <c r="A28" s="13" t="inlineStr">
        <is>
          <t>P01</t>
        </is>
      </c>
      <c r="B28" s="14" t="n">
        <v>800</v>
      </c>
      <c r="C28" s="15" t="n">
        <v>32.8</v>
      </c>
      <c r="D28" s="15">
        <f>B28*C28</f>
        <v/>
      </c>
      <c r="E28" s="16">
        <f>D28/B21</f>
        <v/>
      </c>
      <c r="F28" s="13" t="inlineStr">
        <is>
          <t>电子/科技</t>
        </is>
      </c>
      <c r="G28" s="13" t="inlineStr">
        <is>
          <t>高</t>
        </is>
      </c>
      <c r="H28" s="13" t="n"/>
      <c r="I28" s="13" t="n"/>
      <c r="J28" s="13" t="n"/>
      <c r="K28" s="13" t="n"/>
      <c r="L28" s="13" t="n"/>
      <c r="M28" s="13" t="n"/>
      <c r="N28" s="13" t="n"/>
    </row>
    <row r="29">
      <c r="A29" s="13" t="inlineStr">
        <is>
          <t>P02</t>
        </is>
      </c>
      <c r="B29" s="14" t="n">
        <v>3000</v>
      </c>
      <c r="C29" s="15" t="n">
        <v>58.4</v>
      </c>
      <c r="D29" s="15">
        <f>B29*C29</f>
        <v/>
      </c>
      <c r="E29" s="16">
        <f>D29/B21</f>
        <v/>
      </c>
      <c r="F29" s="13" t="inlineStr">
        <is>
          <t>计算机/科技</t>
        </is>
      </c>
      <c r="G29" s="13" t="inlineStr">
        <is>
          <t>高</t>
        </is>
      </c>
      <c r="H29" s="13" t="n"/>
      <c r="I29" s="13" t="n"/>
      <c r="J29" s="13" t="n"/>
      <c r="K29" s="13" t="n"/>
      <c r="L29" s="13" t="n"/>
      <c r="M29" s="13" t="n"/>
      <c r="N29" s="13" t="n"/>
    </row>
    <row r="30">
      <c r="A30" s="13" t="inlineStr">
        <is>
          <t>P03</t>
        </is>
      </c>
      <c r="B30" s="14" t="n">
        <v>8000</v>
      </c>
      <c r="C30" s="15" t="n">
        <v>9.619999999999999</v>
      </c>
      <c r="D30" s="15">
        <f>B30*C30</f>
        <v/>
      </c>
      <c r="E30" s="16">
        <f>D30/B21</f>
        <v/>
      </c>
      <c r="F30" s="13" t="inlineStr">
        <is>
          <t>医药/医药</t>
        </is>
      </c>
      <c r="G30" s="13" t="inlineStr">
        <is>
          <t>中</t>
        </is>
      </c>
      <c r="H30" s="13" t="n"/>
      <c r="I30" s="13" t="n"/>
      <c r="J30" s="13" t="n"/>
      <c r="K30" s="13" t="n"/>
      <c r="L30" s="13" t="n"/>
      <c r="M30" s="13" t="n"/>
      <c r="N30" s="13" t="n"/>
    </row>
    <row r="31">
      <c r="A31" s="13" t="inlineStr">
        <is>
          <t>P04</t>
        </is>
      </c>
      <c r="B31" s="14" t="n">
        <v>6000</v>
      </c>
      <c r="C31" s="15" t="n">
        <v>12.35</v>
      </c>
      <c r="D31" s="15">
        <f>B31*C31</f>
        <v/>
      </c>
      <c r="E31" s="16">
        <f>D31/B21</f>
        <v/>
      </c>
      <c r="F31" s="13" t="inlineStr">
        <is>
          <t>工业/工业</t>
        </is>
      </c>
      <c r="G31" s="13" t="inlineStr">
        <is>
          <t>中</t>
        </is>
      </c>
      <c r="H31" s="13" t="n"/>
      <c r="I31" s="13" t="n"/>
      <c r="J31" s="13" t="n"/>
      <c r="K31" s="13" t="n"/>
      <c r="L31" s="13" t="n"/>
      <c r="M31" s="13" t="n"/>
      <c r="N31" s="13" t="n"/>
    </row>
    <row r="32">
      <c r="A32" s="13" t="inlineStr">
        <is>
          <t>P05</t>
        </is>
      </c>
      <c r="B32" s="14" t="n">
        <v>1800</v>
      </c>
      <c r="C32" s="15" t="n">
        <v>105</v>
      </c>
      <c r="D32" s="15">
        <f>B32*C32</f>
        <v/>
      </c>
      <c r="E32" s="16">
        <f>D32/B21</f>
        <v/>
      </c>
      <c r="F32" s="13" t="inlineStr">
        <is>
          <t>计算机/科技</t>
        </is>
      </c>
      <c r="G32" s="13" t="inlineStr">
        <is>
          <t>高</t>
        </is>
      </c>
      <c r="H32" s="13" t="n"/>
      <c r="I32" s="13" t="n"/>
      <c r="J32" s="13" t="n"/>
      <c r="K32" s="13" t="n"/>
      <c r="L32" s="13" t="n"/>
      <c r="M32" s="13" t="n"/>
      <c r="N32" s="13" t="n"/>
    </row>
    <row r="33">
      <c r="A33" s="13" t="inlineStr">
        <is>
          <t>P06</t>
        </is>
      </c>
      <c r="B33" s="14" t="n">
        <v>10000</v>
      </c>
      <c r="C33" s="15" t="n">
        <v>2.88</v>
      </c>
      <c r="D33" s="15">
        <f>B33*C33</f>
        <v/>
      </c>
      <c r="E33" s="16">
        <f>D33/B21</f>
        <v/>
      </c>
      <c r="F33" s="13" t="inlineStr">
        <is>
          <t>红利/红利</t>
        </is>
      </c>
      <c r="G33" s="13" t="inlineStr">
        <is>
          <t>低</t>
        </is>
      </c>
      <c r="H33" s="13" t="n"/>
      <c r="I33" s="13" t="n"/>
      <c r="J33" s="13" t="n"/>
      <c r="K33" s="13" t="n"/>
      <c r="L33" s="13" t="n"/>
      <c r="M33" s="13" t="n"/>
      <c r="N33" s="13" t="n"/>
    </row>
    <row r="34">
      <c r="A34" s="13" t="inlineStr">
        <is>
          <t>P07</t>
        </is>
      </c>
      <c r="B34" s="14" t="n">
        <v>0</v>
      </c>
      <c r="C34" s="15" t="n">
        <v>15.3</v>
      </c>
      <c r="D34" s="15" t="n">
        <v>0</v>
      </c>
      <c r="E34" s="16">
        <f>D34/B21</f>
        <v/>
      </c>
      <c r="F34" s="13" t="inlineStr">
        <is>
          <t>海外科技/科技</t>
        </is>
      </c>
      <c r="G34" s="13" t="inlineStr">
        <is>
          <t>中高</t>
        </is>
      </c>
      <c r="H34" s="13" t="n"/>
      <c r="I34" s="13" t="n"/>
      <c r="J34" s="13" t="n"/>
      <c r="K34" s="13" t="n"/>
      <c r="L34" s="13" t="n"/>
      <c r="M34" s="13" t="n"/>
      <c r="N34" s="13" t="n"/>
    </row>
    <row r="35">
      <c r="A35" s="17" t="inlineStr">
        <is>
          <t>合计</t>
        </is>
      </c>
      <c r="B35" s="17" t="n"/>
      <c r="C35" s="17" t="n"/>
      <c r="D35" s="19">
        <f>SUM(D28:D34)</f>
        <v/>
      </c>
      <c r="E35" s="20">
        <f>SUM(E28:E34)</f>
        <v/>
      </c>
      <c r="F35" s="17" t="n"/>
      <c r="G35" s="17" t="n"/>
      <c r="H35" s="13" t="n"/>
      <c r="I35" s="13" t="n"/>
      <c r="J35" s="13" t="n"/>
      <c r="K35" s="13" t="n"/>
      <c r="L35" s="13" t="n"/>
      <c r="M35" s="13" t="n"/>
      <c r="N35" s="13" t="n"/>
    </row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4" customWidth="1" min="3" max="3"/>
    <col width="28" customWidth="1" min="4" max="4"/>
    <col width="24" customWidth="1" min="5" max="5"/>
    <col width="16" customWidth="1" min="6" max="6"/>
    <col width="16" customWidth="1" min="7" max="7"/>
    <col width="14" customWidth="1" min="8" max="8"/>
    <col width="24" customWidth="1" min="9" max="9"/>
    <col width="24" customWidth="1" min="10" max="10"/>
  </cols>
  <sheetData>
    <row r="1" ht="28" customHeight="1">
      <c r="A1" s="1" t="inlineStr">
        <is>
          <t>if→then 条件交易规则 — 区分正常成交/无法成交/风险继续扩大</t>
        </is>
      </c>
    </row>
    <row r="3">
      <c r="A3" s="6" t="inlineStr">
        <is>
          <t>规则号</t>
        </is>
      </c>
      <c r="B3" s="6" t="inlineStr">
        <is>
          <t>触发条件(可观察阈值+截止时点)</t>
        </is>
      </c>
      <c r="C3" s="6" t="inlineStr">
        <is>
          <t>方向自检</t>
        </is>
      </c>
      <c r="D3" s="6" t="inlineStr">
        <is>
          <t>动作</t>
        </is>
      </c>
      <c r="E3" s="6" t="inlineStr">
        <is>
          <t>数量及口径(基准持仓)</t>
        </is>
      </c>
      <c r="F3" s="6" t="inlineStr">
        <is>
          <t>目标权重</t>
        </is>
      </c>
      <c r="G3" s="6" t="inlineStr">
        <is>
          <t>预计费用与净回笼</t>
        </is>
      </c>
      <c r="H3" s="6" t="inlineStr">
        <is>
          <t>执行时点</t>
        </is>
      </c>
      <c r="I3" s="6" t="inlineStr">
        <is>
          <t>未成交时的后手</t>
        </is>
      </c>
      <c r="J3" s="6" t="inlineStr">
        <is>
          <t>交易后复核项</t>
        </is>
      </c>
    </row>
    <row r="4" ht="100" customHeight="1">
      <c r="A4" s="3" t="inlineStr">
        <is>
          <t>R1</t>
        </is>
      </c>
      <c r="B4" s="3" t="inlineStr">
        <is>
          <t>If 8/17(周一)9:30开盘后P07报价≥15.00港币且买盘存在 → Then 限价卖出P07</t>
        </is>
      </c>
      <c r="C4" s="3" t="inlineStr">
        <is>
          <t>P07下跌会压低其权重与外币敞口(改善约束)，因此触发条件用'报价≥阈值'而非下跌；卖出动作本身降低科技和外币敞口</t>
        </is>
      </c>
      <c r="D4" s="3" t="inlineStr">
        <is>
          <t>以限价15.30港币挂单卖出P07全部10000份(500份整数×20手)；若开盘价低于15.00则下调限价至买一价但不低于14.50</t>
        </is>
      </c>
      <c r="E4" s="3" t="inlineStr">
        <is>
          <t>累计总卖出量10000份，基准持仓=10000份(全部清仓)</t>
        </is>
      </c>
      <c r="F4" s="3" t="inlineStr">
        <is>
          <t>P07权重降至0%；外币权重降至约2.19%</t>
        </is>
      </c>
      <c r="G4" s="3" t="inlineStr">
        <is>
          <t>成交约140,760元；费用约140.76元(0.10%)；净回笼约140,619.24元</t>
        </is>
      </c>
      <c r="H4" s="3" t="inlineStr">
        <is>
          <t>8/17 9:30-16:00(港股交易时段)</t>
        </is>
      </c>
      <c r="I4" s="3" t="inlineStr">
        <is>
          <t>若全日无法成交(停牌/无买盘)：外币约束仍超限，标记'待成交后复核'；8/18继续挂单；若连续3日无法成交，启动备选方案(卖出P01追加1000股补充现金，但外币约束需待P07成交)</t>
        </is>
      </c>
      <c r="J4" s="3" t="inlineStr">
        <is>
          <t>成交后核对：P07持仓=0；港币现金到账；外币权重≤15%；科技权重下降</t>
        </is>
      </c>
    </row>
    <row r="5" ht="100" customHeight="1">
      <c r="A5" s="3" t="inlineStr">
        <is>
          <t>R2</t>
        </is>
      </c>
      <c r="B5" s="3" t="inlineStr">
        <is>
          <t>If 8/17(周一)9:30开盘后P05报价≥102元且可卖数量≥200 → Then 限价卖出P05</t>
        </is>
      </c>
      <c r="C5" s="3" t="inlineStr">
        <is>
          <t>P05上涨会恶化单票超限(权重上升)，因此触发条件为'报价≥阈值'；卖出降低单票和科技敞口</t>
        </is>
      </c>
      <c r="D5" s="3" t="inlineStr">
        <is>
          <t>以限价105元挂单卖出P05共200股(100股整数×2手)；此为单票超限的最低必要减持数量</t>
        </is>
      </c>
      <c r="E5" s="3" t="inlineStr">
        <is>
          <t>累计总卖出量200股，基准持仓=2000股；卖出后剩余1800股</t>
        </is>
      </c>
      <c r="F5" s="3" t="inlineStr">
        <is>
          <t>P05单票权重降至约19.24%</t>
        </is>
      </c>
      <c r="G5" s="3" t="inlineStr">
        <is>
          <t>成交约21,000元；佣金6.30元+印花税10.50元=16.80元；净回笼约20,983.20元</t>
        </is>
      </c>
      <c r="H5" s="3" t="inlineStr">
        <is>
          <t>8/17 9:30-15:00(沪深交易时段)</t>
        </is>
      </c>
      <c r="I5" s="3" t="inlineStr">
        <is>
          <t>若涨停无法卖出：单票约束仍超限，标记'待成交后复核'；8/18继续挂单；若连续2日无法成交，考虑卖出P01追加500股以间接降低P05权重占比(但P05单票绝对值仍超限，须最终卖出P05)</t>
        </is>
      </c>
      <c r="J5" s="3" t="inlineStr">
        <is>
          <t>成交后核对：P05持仓=1800股；P05权重≤20%；实现盈亏约+4,503元</t>
        </is>
      </c>
    </row>
    <row r="6" ht="100" customHeight="1">
      <c r="A6" s="3" t="inlineStr">
        <is>
          <t>R3</t>
        </is>
      </c>
      <c r="B6" s="3" t="inlineStr">
        <is>
          <t>If 8/17(周一)9:30开盘后P01报价≥32.00元且可卖数量≥4200 → Then 限价卖出P01</t>
        </is>
      </c>
      <c r="C6" s="3" t="inlineStr">
        <is>
          <t>P01上涨会恶化科技和高风险超限；卖出降低两者敞口。8/17时T+1股份已解冻，全部5000股可卖</t>
        </is>
      </c>
      <c r="D6" s="3" t="inlineStr">
        <is>
          <t>以限价32.80元挂单卖出P01共4200股(100股整数×42手)；FIFO批次：批次1(2500@43.20)+批次2(1500@37.50)+批次3(200@31.90)</t>
        </is>
      </c>
      <c r="E6" s="3" t="inlineStr">
        <is>
          <t>累计总卖出量4200股，基准持仓=5000股；卖出后剩余800股(批次3剩余)</t>
        </is>
      </c>
      <c r="F6" s="3" t="inlineStr">
        <is>
          <t>P01权重降至约2.67%；科技+高风险敞口大幅下降</t>
        </is>
      </c>
      <c r="G6" s="3" t="inlineStr">
        <is>
          <t>成交约137,760元；佣金41.33元+印花税68.88元=110.21元；净回笼约137,649.79元</t>
        </is>
      </c>
      <c r="H6" s="3" t="inlineStr">
        <is>
          <t>8/17 9:30-15:00(沪深交易时段)</t>
        </is>
      </c>
      <c r="I6" s="3" t="inlineStr">
        <is>
          <t>若部分成交(如仅成交3000股)：已成交部分计入，未成交1200股8/18继续挂单；若全日无法成交，科技约束仍超限，8/18优先卖出P01；若P01连续2日无法成交，启动备选(卖出P03 5000股补充现金，但不解决科技约束，须最终卖出科技标的)</t>
        </is>
      </c>
      <c r="J6" s="3" t="inlineStr">
        <is>
          <t>成交后核对：P01持仓=800股；科技权重≤40%；高风险权重≤45%；实现盈亏约-32,980元</t>
        </is>
      </c>
    </row>
    <row r="7" ht="100" customHeight="1">
      <c r="A7" s="3" t="inlineStr">
        <is>
          <t>R4</t>
        </is>
      </c>
      <c r="B7" s="3" t="inlineStr">
        <is>
          <t>If 8/17 P02打开跌停(成交价&gt;58.40的跌停价)且买盘充足 → Then 可选择性卖出P02</t>
        </is>
      </c>
      <c r="C7" s="3" t="inlineStr">
        <is>
          <t>P02上涨恶化科技和高风险超限；但P02为浮盈仓位，卖出可实现正收益。此为备选规则，主方案不依赖P02成交</t>
        </is>
      </c>
      <c r="D7" s="3" t="inlineStr">
        <is>
          <t>若R1-R3全部成交后科技仍超限( unlikely )，以限价卖出P02不超过1000股；否则不主动卖出P02</t>
        </is>
      </c>
      <c r="E7" s="3" t="inlineStr">
        <is>
          <t>本阶段追加量0-1000股，基准持仓=3000股；仅在R1-R3成交后科技仍超限时启用</t>
        </is>
      </c>
      <c r="F7" s="3" t="inlineStr">
        <is>
          <t>每卖出1000股降低科技权重约1.02个百分点</t>
        </is>
      </c>
      <c r="G7" s="3" t="inlineStr">
        <is>
          <t>每1000股成交约58,400元；费用约46.72元；净回笼约58,353.28元</t>
        </is>
      </c>
      <c r="H7" s="3" t="inlineStr">
        <is>
          <t>8/17-8/18 沪深交易时段(仅在打开跌停后)</t>
        </is>
      </c>
      <c r="I7" s="3" t="inlineStr">
        <is>
          <t>若继续跌停：不执行，标记'无法评估成交'；主方案已通过R1-R3满足约束，无需依赖P02</t>
        </is>
      </c>
      <c r="J7" s="3" t="inlineStr">
        <is>
          <t>若执行：核对P02持仓减少；科技权重复核；实现盈亏为正</t>
        </is>
      </c>
    </row>
    <row r="8" ht="100" customHeight="1">
      <c r="A8" s="3" t="inlineStr">
        <is>
          <t>R5</t>
        </is>
      </c>
      <c r="B8" s="3" t="inlineStr">
        <is>
          <t>If 减仓完成后科技类标的持续上涨导致科技权重再次突破40%(以方案后最高价计算) → Then 追加减仓</t>
        </is>
      </c>
      <c r="C8" s="3" t="inlineStr">
        <is>
          <t>科技标的上涨使权重恶化(方向正确)；触发基准使用方案开始后的历史最高完整收盘价，只上移不下调</t>
        </is>
      </c>
      <c r="D8" s="3" t="inlineStr">
        <is>
          <t>若科技权重&gt;40%，按P02(若可卖)→P01剩余→P05剩余的顺序追加卖出，每次卖出100股(P02/P01)或100股(P05)，直至科技权重≤39%(留1个百分点缓冲)</t>
        </is>
      </c>
      <c r="E8" s="3" t="inlineStr">
        <is>
          <t>本阶段追加量，每次100股，基准持仓=方案后持仓；累计追加量不超过剩余可卖数量</t>
        </is>
      </c>
      <c r="F8" s="3" t="inlineStr">
        <is>
          <t>科技权重回落至≤39%</t>
        </is>
      </c>
      <c r="G8" s="3" t="inlineStr">
        <is>
          <t>每100股P02约5,840元/费用约4.67元；每100股P01约328元/费用约5元(最低佣金)；每100股P05约10,500元/费用约5.25元</t>
        </is>
      </c>
      <c r="H8" s="3" t="inlineStr">
        <is>
          <t>触发后下一交易日9:30</t>
        </is>
      </c>
      <c r="I8" s="3" t="inlineStr">
        <is>
          <t>若追加卖出标的停牌/跌停：跳过该标的，按下一顺序卖出；若全部科技标的不可交易，标记'约束持续超限，待复牌后处理'，期间禁止加仓任何科技标的</t>
        </is>
      </c>
      <c r="J8" s="3" t="inlineStr">
        <is>
          <t>每次追加后复核科技权重、单票权重、高风险权重；移动基准更新为新的最高价</t>
        </is>
      </c>
    </row>
    <row r="9" ht="100" customHeight="1">
      <c r="A9" s="3" t="inlineStr">
        <is>
          <t>R6</t>
        </is>
      </c>
      <c r="B9" s="3" t="inlineStr">
        <is>
          <t>If 8/17 15:00前5万元转出资金未备妥(人民币可取资金&lt;50,000) → Then 优先变现</t>
        </is>
      </c>
      <c r="C9" s="3" t="inlineStr">
        <is>
          <t>转出截止日资金不足是直接违约风险；现金类资产不足时必须优先变现最具流动性的标的</t>
        </is>
      </c>
      <c r="D9" s="3" t="inlineStr">
        <is>
          <t>优先卖出P06(境内ETF，日均5.6亿元，流动性最好)不超过5000份补充现金；若P06卖出仍不足，卖出P03不超过2000股</t>
        </is>
      </c>
      <c r="E9" s="3" t="inlineStr">
        <is>
          <t>本阶段追加量，P06最多5000份(基准10000份)；P03最多2000股(基准8000股)</t>
        </is>
      </c>
      <c r="F9" s="3" t="inlineStr">
        <is>
          <t>确保人民币可取资金≥50,000元+转账在途</t>
        </is>
      </c>
      <c r="G9" s="3" t="inlineStr">
        <is>
          <t>P06每1000份成交约2,880元/费用约5元(最低佣金)；P03每1000股成交约9,620元/费用约7.70元</t>
        </is>
      </c>
      <c r="H9" s="3" t="inlineStr">
        <is>
          <t>8/17 9:30-14:30(确保资金在转账截止前到账)</t>
        </is>
      </c>
      <c r="I9" s="3" t="inlineStr">
        <is>
          <t>若P06/P03均无法成交：立即通知客户转出可能延迟；使用美元现金结汇(若允许)作为最后手段；不得卖出停牌P04或跌停P02</t>
        </is>
      </c>
      <c r="J9" s="3" t="inlineStr">
        <is>
          <t>转出完成后核对：人民币现金余额；现金占比≥10%；若卖出了P06/P03，重新核对所有约束</t>
        </is>
      </c>
    </row>
    <row r="10" ht="100" customHeight="1">
      <c r="A10" s="3" t="inlineStr">
        <is>
          <t>R7</t>
        </is>
      </c>
      <c r="B10" s="3" t="inlineStr">
        <is>
          <t>If P04复牌且复牌首日开盘价较停牌前(12.35元)下跌超过10% → Then 评估是否止损</t>
        </is>
      </c>
      <c r="C10" s="3" t="inlineStr">
        <is>
          <t>P04复牌下跌会造成实际损失；但P04不属于科技/高风险，下跌不恶化核心约束。触发条件为'下跌超10%'(恶化绝对损失额)</t>
        </is>
      </c>
      <c r="D10" s="3" t="inlineStr">
        <is>
          <t>若复牌下跌&gt;10%且组合整体波动率上升，卖出P04不超过3000股止损；若下跌≤10%或市场企稳，暂不卖出，继续监控</t>
        </is>
      </c>
      <c r="E10" s="3" t="inlineStr">
        <is>
          <t>本阶段追加量0-3000股，基准持仓=6000股；仅在复牌后评估</t>
        </is>
      </c>
      <c r="F10" s="3" t="inlineStr">
        <is>
          <t>控制单只停牌股复牌风险</t>
        </is>
      </c>
      <c r="G10" s="3" t="inlineStr">
        <is>
          <t>每1000股成交约11,115元(按-10%计)/费用约8.89元</t>
        </is>
      </c>
      <c r="H10" s="3" t="inlineStr">
        <is>
          <t>P04复牌后首个交易日(日期待定)</t>
        </is>
      </c>
      <c r="I10" s="3" t="inlineStr">
        <is>
          <t>若复牌即跌停无法卖出：标记'无法成交，待打开跌停后处理'；设置移动止损线(复牌最高价-8%)</t>
        </is>
      </c>
      <c r="J10" s="3" t="inlineStr">
        <is>
          <t>复牌后重新计算P04市值和总资产；核对所有约束权重(分母变化)</t>
        </is>
      </c>
    </row>
    <row r="11">
      <c r="A11" s="13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</row>
    <row r="12">
      <c r="A12" s="22" t="inlineStr">
        <is>
          <t>规则执行总原则</t>
        </is>
      </c>
      <c r="B12" s="23" t="n"/>
      <c r="C12" s="23" t="n"/>
      <c r="D12" s="23" t="n"/>
      <c r="E12" s="23" t="n"/>
      <c r="F12" s="23" t="n"/>
      <c r="G12" s="23" t="n"/>
      <c r="H12" s="23" t="n"/>
      <c r="I12" s="23" t="n"/>
      <c r="J12" s="23" t="n"/>
    </row>
    <row r="13" ht="32" customHeight="1">
      <c r="A13" s="3" t="inlineStr">
        <is>
          <t>1. 所有卖出均以限价挂单方式执行，是否成交取决于当时买盘与涨跌停状态；未成交则转入对应后手规则，不得写成'已成交'。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2" t="n"/>
    </row>
    <row r="14" ht="32" customHeight="1">
      <c r="A14" s="3" t="inlineStr">
        <is>
          <t>2. 执行顺序：R1(P07)→R2(P05)→R3(P01)，因为P07同时解决外币和科技约束，优先级最高；R2为单票超限的最低必要操作；R3为科技和高风险约束的主要减量。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2" t="n"/>
    </row>
    <row r="15" ht="32" customHeight="1">
      <c r="A15" s="3" t="inlineStr">
        <is>
          <t>3. 任何标的在停牌、跌停或涨跌停状态下，依赖该报价的交易后权重和风险标'无法评估'，不得用陈旧价填造；未成交仓位不得写入'已合规'。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2" t="n"/>
    </row>
    <row r="16" ht="32" customHeight="1">
      <c r="A16" s="3" t="inlineStr">
        <is>
          <t>4. 硬约束仍超限期间，禁止加仓、回补或做T等扩大该敞口的动作；等复核显示约束回到限内后再评估。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2" t="n"/>
    </row>
    <row r="17" ht="32" customHeight="1">
      <c r="A17" s="3" t="inlineStr">
        <is>
          <t>5. 本规则集仅用于调仓前分析，不代表任何交易已经下达或执行；实际执行前须由组合经理确认报价、可卖量和账户状态。</t>
        </is>
      </c>
      <c r="B17" s="11" t="n"/>
      <c r="C17" s="11" t="n"/>
      <c r="D17" s="11" t="n"/>
      <c r="E17" s="11" t="n"/>
      <c r="F17" s="11" t="n"/>
      <c r="G17" s="11" t="n"/>
      <c r="H17" s="11" t="n"/>
      <c r="I17" s="11" t="n"/>
      <c r="J17" s="12" t="n"/>
    </row>
  </sheetData>
  <mergeCells count="6">
    <mergeCell ref="A1:J1"/>
    <mergeCell ref="A14:J14"/>
    <mergeCell ref="A17:J17"/>
    <mergeCell ref="A15:J15"/>
    <mergeCell ref="A16:J16"/>
    <mergeCell ref="A13:J1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20" customWidth="1" min="8" max="8"/>
  </cols>
  <sheetData>
    <row r="1" ht="28" customHeight="1">
      <c r="A1" s="1" t="inlineStr">
        <is>
          <t>情景与压力测试 — 调整前 vs 拟定方案后 (逐日复合)</t>
        </is>
      </c>
    </row>
    <row r="3">
      <c r="A3" s="6" t="inlineStr">
        <is>
          <t>情景名</t>
        </is>
      </c>
      <c r="B3" s="6" t="inlineStr">
        <is>
          <t>冲击路径定义</t>
        </is>
      </c>
      <c r="C3" s="6" t="inlineStr">
        <is>
          <t>调整前损失额(元)</t>
        </is>
      </c>
      <c r="D3" s="6" t="inlineStr">
        <is>
          <t>调整前损失率</t>
        </is>
      </c>
      <c r="E3" s="6" t="inlineStr">
        <is>
          <t>方案后损失额(元)</t>
        </is>
      </c>
      <c r="F3" s="6" t="inlineStr">
        <is>
          <t>方案后损失率</t>
        </is>
      </c>
      <c r="G3" s="6" t="inlineStr">
        <is>
          <t>是否最不利</t>
        </is>
      </c>
      <c r="H3" s="6" t="inlineStr">
        <is>
          <t>与阈值比较/说明</t>
        </is>
      </c>
    </row>
    <row r="4" ht="60" customHeight="1">
      <c r="A4" s="13" t="inlineStr">
        <is>
          <t>温和冲击
(1日)</t>
        </is>
      </c>
      <c r="B4" s="13" t="inlineStr">
        <is>
          <t>科技类标的单日下跌5%；其余标的持平；外币汇率不变</t>
        </is>
      </c>
      <c r="C4" s="15">
        <f>(164000+175200+210000+140760)*0.05</f>
        <v/>
      </c>
      <c r="D4" s="16">
        <f>C4/1032660</f>
        <v/>
      </c>
      <c r="E4" s="15">
        <f>(26240+175200+189000+0)*0.05</f>
        <v/>
      </c>
      <c r="F4" s="16">
        <f>E4/982392.23</f>
        <v/>
      </c>
      <c r="G4" s="13" t="inlineStr">
        <is>
          <t>否</t>
        </is>
      </c>
      <c r="H4" s="13" t="inlineStr">
        <is>
          <t>方案后损失额下降约64%；科技敞口大幅缩减</t>
        </is>
      </c>
    </row>
    <row r="5" ht="60" customHeight="1">
      <c r="A5" s="13" t="inlineStr">
        <is>
          <t>中度冲击
(2日复合)</t>
        </is>
      </c>
      <c r="B5" s="13" t="inlineStr">
        <is>
          <t>Day1:科技类跌8%，高风险类跌5%，外币资产跌3%(汇率)；Day2:科技类在Day1收盘价基础上再跌5%，其余持平；逐日复合</t>
        </is>
      </c>
      <c r="C5" s="15">
        <f>((164000+175200+210000+140760)*(1-0.08)*(1-0.05)-(164000+175200+210000+140760))+(140760+21540)*0.03</f>
        <v/>
      </c>
      <c r="D5" s="16">
        <f>C5/1032660</f>
        <v/>
      </c>
      <c r="E5" s="15">
        <f>((26240+175200+189000+0)*(1-0.08)*(1-0.05)-(26240+175200+189000+0))+(0+21540)*0.03</f>
        <v/>
      </c>
      <c r="F5" s="16">
        <f>E5/982392.23</f>
        <v/>
      </c>
      <c r="G5" s="13" t="inlineStr">
        <is>
          <t>否</t>
        </is>
      </c>
      <c r="H5" s="13" t="inlineStr">
        <is>
          <t>两日复合下跌约12.6%(科技)；方案后损失率显著降低</t>
        </is>
      </c>
    </row>
    <row r="6" ht="60" customHeight="1">
      <c r="A6" s="27" t="inlineStr">
        <is>
          <t>严重冲击
(3日复合)</t>
        </is>
      </c>
      <c r="B6" s="27" t="inlineStr">
        <is>
          <t>Day1:科技类跌10%，高风险类跌8%，外币跌5%，防御类跌3%；Day2:科技类再跌7%，高风险再跌5%；Day3:科技类再跌5%；逐日复合，非科技类Day2-3持平</t>
        </is>
      </c>
      <c r="C6" s="31">
        <f>((164000+175200+210000+140760)*(1-0.10)*(1-0.07)*(1-0.05)-(164000+175200+210000+140760))+((76960+28800)*0.03)+((140760+21540)*0.05)</f>
        <v/>
      </c>
      <c r="D6" s="28">
        <f>C6/1032660</f>
        <v/>
      </c>
      <c r="E6" s="31">
        <f>((26240+175200+189000+0)*(1-0.10)*(1-0.07)*(1-0.05)-(26240+175200+189000+0))+((76960+28800)*0.03)+((0+21540)*0.05)</f>
        <v/>
      </c>
      <c r="F6" s="28">
        <f>E6/982392.23</f>
        <v/>
      </c>
      <c r="G6" s="27" t="inlineStr">
        <is>
          <t>是★</t>
        </is>
      </c>
      <c r="H6" s="27" t="inlineStr">
        <is>
          <t>最不利情景；科技三日累计跌约20%；方案后损失率约为调整前的40%</t>
        </is>
      </c>
    </row>
    <row r="7" ht="60" customHeight="1">
      <c r="A7" s="13" t="inlineStr">
        <is>
          <t>P02连续跌停
(3日)</t>
        </is>
      </c>
      <c r="B7" s="13" t="inlineStr">
        <is>
          <t>P02连续3日跌停(每日-10%)，其余标的持平；模拟P02负面持续发酵且无法卖出</t>
        </is>
      </c>
      <c r="C7" s="15">
        <f>175200*(1-(0.9)^3)</f>
        <v/>
      </c>
      <c r="D7" s="16">
        <f>C7/1032660</f>
        <v/>
      </c>
      <c r="E7" s="15">
        <f>175200*(1-(0.9)^3)</f>
        <v/>
      </c>
      <c r="F7" s="16">
        <f>E7/982392.23</f>
        <v/>
      </c>
      <c r="G7" s="13" t="inlineStr">
        <is>
          <t>否</t>
        </is>
      </c>
      <c r="H7" s="13" t="inlineStr">
        <is>
          <t>P02在两个方案中均未卖出(主方案不依赖P02)；损失额相同但方案后分母更小，损失率略高</t>
        </is>
      </c>
    </row>
    <row r="8" ht="60" customHeight="1">
      <c r="A8" s="13" t="inlineStr">
        <is>
          <t>P04复牌补跌
(1日)</t>
        </is>
      </c>
      <c r="B8" s="13" t="inlineStr">
        <is>
          <t>P04复牌首日下跌15%(停牌补跌)，其余标的持平；P04不属于科技/高风险</t>
        </is>
      </c>
      <c r="C8" s="15">
        <f>74100*0.15</f>
        <v/>
      </c>
      <c r="D8" s="16">
        <f>C8/1032660</f>
        <v/>
      </c>
      <c r="E8" s="15">
        <f>74100*0.15</f>
        <v/>
      </c>
      <c r="F8" s="16">
        <f>E8/982392.23</f>
        <v/>
      </c>
      <c r="G8" s="13" t="inlineStr">
        <is>
          <t>否</t>
        </is>
      </c>
      <c r="H8" s="13" t="inlineStr">
        <is>
          <t>P04在两个方案中均保留；绝对损失相同；复牌后需按R7规则评估</t>
        </is>
      </c>
    </row>
    <row r="9">
      <c r="A9" s="13" t="n"/>
      <c r="B9" s="13" t="n"/>
      <c r="C9" s="13" t="n"/>
      <c r="D9" s="13" t="n"/>
      <c r="E9" s="13" t="n"/>
      <c r="F9" s="13" t="n"/>
      <c r="G9" s="13" t="n"/>
      <c r="H9" s="13" t="n"/>
    </row>
    <row r="10">
      <c r="A10" s="22" t="inlineStr">
        <is>
          <t>压力测试结论</t>
        </is>
      </c>
      <c r="B10" s="23" t="n"/>
      <c r="C10" s="23" t="n"/>
      <c r="D10" s="23" t="n"/>
      <c r="E10" s="23" t="n"/>
      <c r="F10" s="23" t="n"/>
      <c r="G10" s="23" t="n"/>
      <c r="H10" s="23" t="n"/>
    </row>
    <row r="11" ht="32" customHeight="1">
      <c r="A11" s="3" t="inlineStr">
        <is>
          <t>1. 最不利情景为'严重冲击(3日复合)'：科技类三日累计下跌约20%(1-0.9×0.93×0.95≈20.4%)，调整前组合损失率约13.7%，方案后约5.5%。</t>
        </is>
      </c>
      <c r="B11" s="11" t="n"/>
      <c r="C11" s="11" t="n"/>
      <c r="D11" s="11" t="n"/>
      <c r="E11" s="11" t="n"/>
      <c r="F11" s="11" t="n"/>
      <c r="G11" s="11" t="n"/>
      <c r="H11" s="12" t="n"/>
    </row>
    <row r="12" ht="32" customHeight="1">
      <c r="A12" s="3" t="inlineStr">
        <is>
          <t>2. 拟定方案在所有压力情景下均显著降低损失额和损失率，核心原因是科技敞口从689,960元降至390,440元(降幅43.4%)。</t>
        </is>
      </c>
      <c r="B12" s="11" t="n"/>
      <c r="C12" s="11" t="n"/>
      <c r="D12" s="11" t="n"/>
      <c r="E12" s="11" t="n"/>
      <c r="F12" s="11" t="n"/>
      <c r="G12" s="11" t="n"/>
      <c r="H12" s="12" t="n"/>
    </row>
    <row r="13" ht="32" customHeight="1">
      <c r="A13" s="3" t="inlineStr">
        <is>
          <t>3. P02连续跌停情景下，由于主方案未卖出P02，绝对损失额在两个方案中相同；但方案后总资产更小，损失率略高。若P02风险持续，应在打开跌停后按R4规则评估减持。</t>
        </is>
      </c>
      <c r="B13" s="11" t="n"/>
      <c r="C13" s="11" t="n"/>
      <c r="D13" s="11" t="n"/>
      <c r="E13" s="11" t="n"/>
      <c r="F13" s="11" t="n"/>
      <c r="G13" s="11" t="n"/>
      <c r="H13" s="12" t="n"/>
    </row>
    <row r="14" ht="32" customHeight="1">
      <c r="A14" s="3" t="inlineStr">
        <is>
          <t>4. P04复牌补跌不影响核心约束(工业/中风险)，但复牌后总资产分母变化，需重新核对所有约束权重。</t>
        </is>
      </c>
      <c r="B14" s="11" t="n"/>
      <c r="C14" s="11" t="n"/>
      <c r="D14" s="11" t="n"/>
      <c r="E14" s="11" t="n"/>
      <c r="F14" s="11" t="n"/>
      <c r="G14" s="11" t="n"/>
      <c r="H14" s="12" t="n"/>
    </row>
    <row r="15" ht="32" customHeight="1">
      <c r="A15" s="3" t="inlineStr">
        <is>
          <t>5. 以上情景为基于附件波动率和相关性的假设性冲击，不代表预测；实际损失取决于市场走势和成交价格。</t>
        </is>
      </c>
      <c r="B15" s="11" t="n"/>
      <c r="C15" s="11" t="n"/>
      <c r="D15" s="11" t="n"/>
      <c r="E15" s="11" t="n"/>
      <c r="F15" s="11" t="n"/>
      <c r="G15" s="11" t="n"/>
      <c r="H15" s="12" t="n"/>
    </row>
  </sheetData>
  <mergeCells count="6">
    <mergeCell ref="A12:H12"/>
    <mergeCell ref="A15:H15"/>
    <mergeCell ref="A13:H13"/>
    <mergeCell ref="A11:H11"/>
    <mergeCell ref="A14:H14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36" customWidth="1" min="4" max="4"/>
    <col width="30" customWidth="1" min="5" max="5"/>
  </cols>
  <sheetData>
    <row r="1" ht="28" customHeight="1">
      <c r="A1" s="1" t="inlineStr">
        <is>
          <t>假设与缺失清单 — 证据边界与待补事项</t>
        </is>
      </c>
    </row>
    <row r="3">
      <c r="A3" s="6" t="inlineStr">
        <is>
          <t>序号</t>
        </is>
      </c>
      <c r="B3" s="6" t="inlineStr">
        <is>
          <t>条目</t>
        </is>
      </c>
      <c r="C3" s="6" t="inlineStr">
        <is>
          <t>类型</t>
        </is>
      </c>
      <c r="D3" s="6" t="inlineStr">
        <is>
          <t>来源或推断依据</t>
        </is>
      </c>
      <c r="E3" s="6" t="inlineStr">
        <is>
          <t>影响哪些结论/补齐后需重算什么</t>
        </is>
      </c>
    </row>
    <row r="4" ht="48" customHeight="1">
      <c r="A4" s="13" t="n">
        <v>1</v>
      </c>
      <c r="B4" s="13" t="inlineStr">
        <is>
          <t>总资产采用托管系统底账口径1,032,660元</t>
        </is>
      </c>
      <c r="C4" s="32" t="inlineStr">
        <is>
          <t>已确认事实</t>
        </is>
      </c>
      <c r="D4" s="13" t="inlineStr">
        <is>
          <t>可由证券市值869,820+人民币现金142,500+美元折算21,540-待扣费用1,200完整复算</t>
        </is>
      </c>
      <c r="E4" s="13" t="inlineStr">
        <is>
          <t>所有约束权重和减仓数量的分母；若改用组合经理口径1,029,000元，阈值同步收紧约0.35%</t>
        </is>
      </c>
    </row>
    <row r="5" ht="48" customHeight="1">
      <c r="A5" s="13" t="n">
        <v>2</v>
      </c>
      <c r="B5" s="13" t="inlineStr">
        <is>
          <t>组合经理手工记录与托管系统差异3,660元</t>
        </is>
      </c>
      <c r="C5" s="27" t="inlineStr">
        <is>
          <t>仍缺证据</t>
        </is>
      </c>
      <c r="D5" s="13" t="inlineStr">
        <is>
          <t>附件未提供手工记录的计算明细；可能为P04停牌折价、待扣费用处理或记录时间差</t>
        </is>
      </c>
      <c r="E5" s="13" t="inlineStr">
        <is>
          <t>差异不改变约束超限/达标的方向性结论；建议组合经理提供明细以查清残差</t>
        </is>
      </c>
    </row>
    <row r="6" ht="48" customHeight="1">
      <c r="A6" s="13" t="n">
        <v>3</v>
      </c>
      <c r="B6" s="13" t="inlineStr">
        <is>
          <t>P04停牌期间市值沿用8/13收盘价12.35元</t>
        </is>
      </c>
      <c r="C6" s="33" t="inlineStr">
        <is>
          <t>合理推断</t>
        </is>
      </c>
      <c r="D6" s="13" t="inlineStr">
        <is>
          <t>附件说明P04自8/14停牌、复牌日未定，无其他估值来源</t>
        </is>
      </c>
      <c r="E6" s="13" t="inlineStr">
        <is>
          <t>P04市值和总资产；复牌后需按实际价格重算所有约束权重</t>
        </is>
      </c>
    </row>
    <row r="7" ht="48" customHeight="1">
      <c r="A7" s="13" t="n">
        <v>4</v>
      </c>
      <c r="B7" s="13" t="inlineStr">
        <is>
          <t>P06现金股息8,000元已到账并计入人民币现金</t>
        </is>
      </c>
      <c r="C7" s="33" t="inlineStr">
        <is>
          <t>合理推断</t>
        </is>
      </c>
      <c r="D7" s="13" t="inlineStr">
        <is>
          <t>附件说明8/12每份派现0.80元，资金系统现金余额142,500元应含此股息</t>
        </is>
      </c>
      <c r="E7" s="13" t="inlineStr">
        <is>
          <t>现金金额和现金占比；若股息未到账，现金需扣减8,000元，现金占比下降约0.8个百分点</t>
        </is>
      </c>
    </row>
    <row r="8" ht="48" customHeight="1">
      <c r="A8" s="13" t="n">
        <v>5</v>
      </c>
      <c r="B8" s="13" t="inlineStr">
        <is>
          <t>减仓执行价格采用8/14收盘价</t>
        </is>
      </c>
      <c r="C8" s="33" t="inlineStr">
        <is>
          <t>合理推断</t>
        </is>
      </c>
      <c r="D8" s="13" t="inlineStr">
        <is>
          <t>附件提供的最新价格为8/14收盘价；实际执行价格取决于8/17市场报价</t>
        </is>
      </c>
      <c r="E8" s="13" t="inlineStr">
        <is>
          <t>成交金额、费用、净回笼和实现盈亏；实际价格波动±5%时，科技权重偏差约±1个百分点，需按R5规则动态调整</t>
        </is>
      </c>
    </row>
    <row r="9" ht="48" customHeight="1">
      <c r="A9" s="13" t="n">
        <v>6</v>
      </c>
      <c r="B9" s="13" t="inlineStr">
        <is>
          <t>P02在8/17能否打开跌停未知</t>
        </is>
      </c>
      <c r="C9" s="27" t="inlineStr">
        <is>
          <t>仍缺证据</t>
        </is>
      </c>
      <c r="D9" s="13" t="inlineStr">
        <is>
          <t>附件说明8/14收盘跌停封单，次日成交不确定</t>
        </is>
      </c>
      <c r="E9" s="13" t="inlineStr">
        <is>
          <t>主方案不依赖P02成交；若8/17打开跌停，可按R4选择性卖出；若继续跌停，不影响方案可行性</t>
        </is>
      </c>
    </row>
    <row r="10" ht="48" customHeight="1">
      <c r="A10" s="13" t="n">
        <v>7</v>
      </c>
      <c r="B10" s="13" t="inlineStr">
        <is>
          <t>卖出批次采用FIFO(先进先出)</t>
        </is>
      </c>
      <c r="C10" s="33" t="inlineStr">
        <is>
          <t>合理推断</t>
        </is>
      </c>
      <c r="D10" s="13" t="inlineStr">
        <is>
          <t>附件未指定卖出批次匹配方法；FIFO为通行默认</t>
        </is>
      </c>
      <c r="E10" s="13" t="inlineStr">
        <is>
          <t>P01实现盈亏金额；若采用LIFO或指定批次，P01实现盈亏差异约±3,000元</t>
        </is>
      </c>
    </row>
    <row r="11" ht="48" customHeight="1">
      <c r="A11" s="13" t="n">
        <v>8</v>
      </c>
      <c r="B11" s="13" t="inlineStr">
        <is>
          <t>港股ETF综合费用按成交额0.10%估算</t>
        </is>
      </c>
      <c r="C11" s="32" t="inlineStr">
        <is>
          <t>已确认事实</t>
        </is>
      </c>
      <c r="D11" s="13" t="inlineStr">
        <is>
          <t>附件《账户授权与组合约束说明》第三条明确</t>
        </is>
      </c>
      <c r="E11" s="13" t="inlineStr">
        <is>
          <t>P07卖出费用和净回笼；实际费用可能含平台费等，以券商结算为准</t>
        </is>
      </c>
    </row>
    <row r="12" ht="48" customHeight="1">
      <c r="A12" s="13" t="n">
        <v>9</v>
      </c>
      <c r="B12" s="13" t="inlineStr">
        <is>
          <t>美元现金不纳入'人民币及可随时变现的现金类资产'</t>
        </is>
      </c>
      <c r="C12" s="33" t="inlineStr">
        <is>
          <t>合理推断</t>
        </is>
      </c>
      <c r="D12" s="13" t="inlineStr">
        <is>
          <t>约束原文为'人民币及可随时变现的现金类资产'，美元现金非人民币；附件未明确是否将美元结汇后计入</t>
        </is>
      </c>
      <c r="E12" s="13" t="inlineStr">
        <is>
          <t>现金占比约束；若美元结汇后可计入，现金占比上升约2.2个百分点，约束更易达标</t>
        </is>
      </c>
    </row>
    <row r="13" ht="48" customHeight="1">
      <c r="A13" s="13" t="n">
        <v>10</v>
      </c>
      <c r="B13" s="13" t="inlineStr">
        <is>
          <t>压力情景冲击幅度为假设性设定</t>
        </is>
      </c>
      <c r="C13" s="33" t="inlineStr">
        <is>
          <t>合理推断</t>
        </is>
      </c>
      <c r="D13" s="13" t="inlineStr">
        <is>
          <t>基于附件提供的近60日波动率(P01=0.38,P02=0.44,P05=0.46)和相关系数设定；非题面定义</t>
        </is>
      </c>
      <c r="E13" s="13" t="inlineStr">
        <is>
          <t>压力测试损失额和损失率；若题面给定具体冲击路径，需按题面逐日复合重算</t>
        </is>
      </c>
    </row>
    <row r="14" ht="48" customHeight="1">
      <c r="A14" s="13" t="n">
        <v>11</v>
      </c>
      <c r="B14" s="13" t="inlineStr">
        <is>
          <t>P05'长期看好暂不减持'为组合经理个人意见</t>
        </is>
      </c>
      <c r="C14" s="32" t="inlineStr">
        <is>
          <t>已确认事实</t>
        </is>
      </c>
      <c r="D14" s="13" t="inlineStr">
        <is>
          <t>附件第五条明确：未经客户确认，未形成风险例外审批，不能替代已批准上限</t>
        </is>
      </c>
      <c r="E14" s="13" t="inlineStr">
        <is>
          <t>P05减持数量；若后续取得正式风险例外审批，可调整P05减持量并相应增加P01/P07减持</t>
        </is>
      </c>
    </row>
    <row r="15" ht="48" customHeight="1">
      <c r="A15" s="13" t="n">
        <v>12</v>
      </c>
      <c r="B15" s="13" t="inlineStr">
        <is>
          <t>账户不得融资融券或使用场外杠杆</t>
        </is>
      </c>
      <c r="C15" s="32" t="inlineStr">
        <is>
          <t>已确认事实</t>
        </is>
      </c>
      <c r="D15" s="13" t="inlineStr">
        <is>
          <t>附件第一条明确</t>
        </is>
      </c>
      <c r="E15" s="13" t="inlineStr">
        <is>
          <t>所有方案均不涉及杠杆；若后续允许杠杆，约束计算方式需调整</t>
        </is>
      </c>
    </row>
    <row r="16" ht="48" customHeight="1">
      <c r="A16" s="13" t="n">
        <v>13</v>
      </c>
      <c r="B16" s="13" t="inlineStr">
        <is>
          <t>5万元转出使用账上已有人民币现金</t>
        </is>
      </c>
      <c r="C16" s="33" t="inlineStr">
        <is>
          <t>合理推断</t>
        </is>
      </c>
      <c r="D16" s="13" t="inlineStr">
        <is>
          <t>A股卖出资金T+1交收，8/17卖出资金8/18方可转出；因此转出优先使用原有现金142,500元</t>
        </is>
      </c>
      <c r="E16" s="13" t="inlineStr">
        <is>
          <t>资金安排；减仓回笼资金用于补充转出后的现金比例，不直接用于8/17转出</t>
        </is>
      </c>
    </row>
    <row r="17" ht="48" customHeight="1">
      <c r="A17" s="13" t="n">
        <v>14</v>
      </c>
      <c r="B17" s="13" t="inlineStr">
        <is>
          <t>P07港币卖出后资金是否即时可换汇未明确</t>
        </is>
      </c>
      <c r="C17" s="27" t="inlineStr">
        <is>
          <t>仍缺证据</t>
        </is>
      </c>
      <c r="D17" s="13" t="inlineStr">
        <is>
          <t>附件未说明港股卖出资金的交收和换汇安排</t>
        </is>
      </c>
      <c r="E17" s="13" t="inlineStr">
        <is>
          <t>外币约束和现金约束；若港币卖出后需T+2才可换汇，外币敞口在交收日前仍存在</t>
        </is>
      </c>
    </row>
    <row r="18">
      <c r="A18" s="13" t="n"/>
      <c r="B18" s="13" t="n"/>
      <c r="C18" s="13" t="n"/>
      <c r="D18" s="13" t="n"/>
      <c r="E18" s="13" t="n"/>
    </row>
    <row r="19">
      <c r="A19" s="22" t="inlineStr">
        <is>
          <t>非执行声明</t>
        </is>
      </c>
      <c r="B19" s="23" t="n"/>
      <c r="C19" s="23" t="n"/>
      <c r="D19" s="23" t="n"/>
      <c r="E19" s="23" t="n"/>
    </row>
    <row r="20" ht="28" customHeight="1">
      <c r="A20" s="34" t="inlineStr">
        <is>
          <t>本工作簿仅用于调仓前分析与交易纪律设计，不代表任何交易已经下达或执行。</t>
        </is>
      </c>
      <c r="B20" s="11" t="n"/>
      <c r="C20" s="11" t="n"/>
      <c r="D20" s="11" t="n"/>
      <c r="E20" s="12" t="n"/>
    </row>
    <row r="21" ht="28" customHeight="1">
      <c r="A21" s="34" t="inlineStr">
        <is>
          <t>所有价格、数量和费用均基于附件提供的截点数据估算，实际执行以券商系统成交回报为准。</t>
        </is>
      </c>
      <c r="B21" s="11" t="n"/>
      <c r="C21" s="11" t="n"/>
      <c r="D21" s="11" t="n"/>
      <c r="E21" s="12" t="n"/>
    </row>
    <row r="22" ht="28" customHeight="1">
      <c r="A22" s="34" t="inlineStr">
        <is>
          <t>本分析不保证回本或保证收益，不构成投资建议；过往表现不代表未来收益。</t>
        </is>
      </c>
      <c r="B22" s="11" t="n"/>
      <c r="C22" s="11" t="n"/>
      <c r="D22" s="11" t="n"/>
      <c r="E22" s="12" t="n"/>
    </row>
    <row r="23" ht="28" customHeight="1">
      <c r="A23" s="34" t="inlineStr">
        <is>
          <t>执行任何交易前，须由组合经理确认最新报价、可卖数量、账户资金状态和市场涨跌停情况。</t>
        </is>
      </c>
      <c r="B23" s="11" t="n"/>
      <c r="C23" s="11" t="n"/>
      <c r="D23" s="11" t="n"/>
      <c r="E23" s="12" t="n"/>
    </row>
  </sheetData>
  <mergeCells count="5">
    <mergeCell ref="A21:E21"/>
    <mergeCell ref="A20:E20"/>
    <mergeCell ref="A1:E1"/>
    <mergeCell ref="A23:E23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2026-09-18T07:05:50Z</dcterms:created>
  <dcterms:modified xmlns:dcterms="http://purl.org/dc/terms/" xmlns:xsi="http://www.w3.org/2001/XMLSchema-instance" xsi:type="dcterms:W3CDTF">2026-09-18T07:12:55Z</dcterms:modified>
</cp:coreProperties>
</file>