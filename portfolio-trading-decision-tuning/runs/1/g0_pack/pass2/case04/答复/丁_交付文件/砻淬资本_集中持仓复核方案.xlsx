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wmz" ContentType="image/x-wmz"/>
  <Default Extension="jpeg" ContentType="image/jpeg"/>
  <Default Extension="png" ContentType="image/png"/>
  <Default Extension="gif" ContentType="image/gif"/>
  <Default Extension="tiff" ContentType="image/tiff"/>
  <Default Extension="emf" ContentType="image/x-emf"/>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账户核对" sheetId="1" r:id="rId1" state="visible"/>
    <sheet name="调整与情景测算" sheetId="2" r:id="rId2" state="visible"/>
    <sheet name="客户沟通说明" sheetId="3" r:id="rId3" state="visible"/>
  </sheets>
  <definedNames/>
  <calcPr calcId="124519" fullCalcOnLoad="true"/>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0">
    <font>
      <sz val="11"/>
      <color theme="1"/>
      <name val="Calibri"/>
      <family val="2"/>
      <scheme val="minor"/>
    </font>
    <font>
      <b val="1"/>
      <sz val="14"/>
      <name val="微软雅黑"/>
    </font>
    <font>
      <sz val="10"/>
      <color rgb="00666666"/>
      <name val="微软雅黑"/>
    </font>
    <font>
      <b val="1"/>
      <sz val="11"/>
      <color rgb="001F4E79"/>
      <name val="微软雅黑"/>
    </font>
    <font>
      <b val="1"/>
      <sz val="10"/>
      <color rgb="00FFFFFF"/>
      <name val="微软雅黑"/>
    </font>
    <font>
      <b val="1"/>
      <sz val="10"/>
      <name val="微软雅黑"/>
    </font>
    <font>
      <sz val="10"/>
      <name val="微软雅黑"/>
    </font>
    <font>
      <sz val="9"/>
      <color rgb="00666666"/>
      <name val="微软雅黑"/>
    </font>
    <font>
      <sz val="10"/>
      <color rgb="00C62828"/>
      <name val="微软雅黑"/>
    </font>
    <font>
      <name val="&lt;openpyxl.styles.fills.PatternFill object&gt;&#10;Parameters:&#10;patternType='solid', fgColor=&lt;openpyxl.styles.colors.Color object&gt;&#10;Parameters:&#10;rgb='00D6E4F0', indexed=None, auto=None, theme=None, tint=0.0, type='rgb', bgColor=&lt;openpyxl.styles.colors.Color object&gt;&#10;Parameters:&#10;rgb='00D6E4F0', indexed=None, auto=None, theme=None, tint=0.0, type='rgb'"/>
    </font>
  </fonts>
  <fills count="8">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CE4EC"/>
        <bgColor rgb="00FCE4EC"/>
      </patternFill>
    </fill>
    <fill>
      <patternFill patternType="solid">
        <fgColor rgb="00FFF3E0"/>
        <bgColor rgb="00FFF3E0"/>
      </patternFill>
    </fill>
    <fill>
      <patternFill patternType="solid">
        <fgColor rgb="00E3F2FD"/>
        <bgColor rgb="00E3F2FD"/>
      </patternFill>
    </fill>
    <fill>
      <patternFill patternType="solid">
        <fgColor rgb="00E8F5E9"/>
        <bgColor rgb="00E8F5E9"/>
      </patternFill>
    </fill>
  </fills>
  <borders count="6">
    <border>
      <left/>
      <right/>
      <top/>
      <bottom/>
      <diagonal/>
    </border>
    <border>
      <left style="thin">
        <color rgb="00B0B0B0"/>
      </left>
      <right style="thin">
        <color rgb="00B0B0B0"/>
      </right>
      <top style="thin">
        <color rgb="00B0B0B0"/>
      </top>
      <bottom style="thin">
        <color rgb="00B0B0B0"/>
      </bottom>
      <diagonal/>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38">
    <xf numFmtId="0" fontId="0" fillId="0" borderId="0" xfId="0" quotePrefix="false" pivotButton="false"/>
    <xf numFmtId="0" fontId="1" fillId="0" borderId="0" xfId="0" quotePrefix="false" pivotButton="false" applyAlignment="true">
      <alignment horizontal="left" vertical="center" wrapText="true"/>
    </xf>
    <xf numFmtId="0" fontId="2" fillId="0" borderId="0" xfId="0" quotePrefix="false" pivotButton="false" applyAlignment="true">
      <alignment horizontal="left" vertical="center" wrapText="true"/>
    </xf>
    <xf numFmtId="0" fontId="3" fillId="0" borderId="0" xfId="0" quotePrefix="false" pivotButton="false"/>
    <xf numFmtId="0" fontId="4" fillId="2" borderId="1" xfId="0" quotePrefix="false" pivotButton="false" applyAlignment="true">
      <alignment horizontal="center" vertical="center" wrapText="true"/>
    </xf>
    <xf numFmtId="0" fontId="0" fillId="0" borderId="4" xfId="0" quotePrefix="false" pivotButton="false"/>
    <xf numFmtId="0" fontId="0" fillId="0" borderId="5" xfId="0" quotePrefix="false" pivotButton="false"/>
    <xf numFmtId="0" fontId="5" fillId="0" borderId="1" xfId="0" quotePrefix="false" pivotButton="false" applyAlignment="true">
      <alignment horizontal="left" vertical="center" wrapText="true"/>
    </xf>
    <xf numFmtId="3" fontId="6" fillId="0" borderId="1" xfId="0" quotePrefix="false" pivotButton="false" applyAlignment="true">
      <alignment horizontal="right" vertical="center"/>
    </xf>
    <xf numFmtId="0" fontId="7" fillId="0" borderId="1" xfId="0" quotePrefix="false" pivotButton="false" applyAlignment="true">
      <alignment horizontal="left" vertical="center" wrapText="true"/>
    </xf>
    <xf numFmtId="0" fontId="6" fillId="0" borderId="1" xfId="0" quotePrefix="false" pivotButton="false" applyAlignment="true">
      <alignment horizontal="center" vertical="center" wrapText="true"/>
    </xf>
    <xf numFmtId="0" fontId="6" fillId="0" borderId="1" xfId="0" quotePrefix="false" pivotButton="false" applyAlignment="true">
      <alignment horizontal="left" vertical="center" wrapText="true"/>
    </xf>
    <xf numFmtId="2" fontId="6" fillId="0" borderId="1" xfId="0" quotePrefix="false" pivotButton="false" applyAlignment="true">
      <alignment horizontal="right" vertical="center"/>
    </xf>
    <xf numFmtId="3" fontId="8" fillId="0" borderId="1" xfId="0" quotePrefix="false" pivotButton="false" applyAlignment="true">
      <alignment horizontal="right" vertical="center"/>
    </xf>
    <xf numFmtId="10" fontId="6" fillId="0" borderId="1" xfId="0" quotePrefix="false" pivotButton="false" applyAlignment="true">
      <alignment horizontal="right" vertical="center"/>
    </xf>
    <xf numFmtId="3" fontId="5" fillId="3" borderId="1" xfId="0" quotePrefix="false" pivotButton="false" applyAlignment="true">
      <alignment horizontal="center" vertical="center" wrapText="true"/>
    </xf>
    <xf numFmtId="0" fontId="9" fillId="0" borderId="1" xfId="0" quotePrefix="false" pivotButton="false"/>
    <xf numFmtId="3" fontId="5" fillId="3" borderId="1" xfId="0" quotePrefix="false" pivotButton="false" applyAlignment="true">
      <alignment horizontal="right" vertical="center"/>
    </xf>
    <xf numFmtId="10" fontId="5" fillId="3" borderId="1" xfId="0" quotePrefix="false" pivotButton="false" applyAlignment="true">
      <alignment horizontal="right" vertical="center"/>
    </xf>
    <xf numFmtId="0" fontId="6" fillId="0" borderId="0" xfId="0" quotePrefix="false" pivotButton="false" applyAlignment="true">
      <alignment horizontal="left" vertical="center" wrapText="true"/>
    </xf>
    <xf numFmtId="0" fontId="5" fillId="0" borderId="0" xfId="0" quotePrefix="false" pivotButton="false" applyAlignment="true">
      <alignment horizontal="left" vertical="center" wrapText="true"/>
    </xf>
    <xf numFmtId="0" fontId="5" fillId="4" borderId="1" xfId="0" quotePrefix="false" pivotButton="false" applyAlignment="true">
      <alignment horizontal="center" vertical="center" wrapText="true"/>
    </xf>
    <xf numFmtId="0" fontId="5" fillId="4" borderId="0" xfId="0" quotePrefix="false" pivotButton="false" applyAlignment="true">
      <alignment horizontal="left" vertical="center" wrapText="true"/>
    </xf>
    <xf numFmtId="10" fontId="5" fillId="0" borderId="1" xfId="0" quotePrefix="false" pivotButton="false" applyAlignment="true">
      <alignment horizontal="right" vertical="center"/>
    </xf>
    <xf numFmtId="3" fontId="5" fillId="0" borderId="1" xfId="0" quotePrefix="false" pivotButton="false" applyAlignment="true">
      <alignment horizontal="right" vertical="center"/>
    </xf>
    <xf numFmtId="0" fontId="3" fillId="3" borderId="0" xfId="0" quotePrefix="false" pivotButton="false" applyAlignment="true">
      <alignment horizontal="left" vertical="center" wrapText="true"/>
    </xf>
    <xf numFmtId="0" fontId="5" fillId="3" borderId="1" xfId="0" quotePrefix="false" pivotButton="false" applyAlignment="true">
      <alignment horizontal="center" vertical="center" wrapText="true"/>
    </xf>
    <xf numFmtId="0" fontId="0" fillId="0" borderId="1" xfId="0" quotePrefix="false" pivotButton="false"/>
    <xf numFmtId="0" fontId="5" fillId="3" borderId="1" xfId="0" quotePrefix="false" pivotButton="false" applyAlignment="true">
      <alignment horizontal="left" vertical="center" wrapText="true"/>
    </xf>
    <xf numFmtId="0" fontId="5" fillId="0" borderId="1" xfId="0" quotePrefix="false" pivotButton="false" applyAlignment="true">
      <alignment horizontal="center" vertical="center" wrapText="true"/>
    </xf>
    <xf numFmtId="0" fontId="3" fillId="5" borderId="0" xfId="0" quotePrefix="false" pivotButton="false" applyAlignment="true">
      <alignment horizontal="left" vertical="center" wrapText="true"/>
    </xf>
    <xf numFmtId="0" fontId="3" fillId="6" borderId="0" xfId="0" quotePrefix="false" pivotButton="false" applyAlignment="true">
      <alignment horizontal="left" vertical="center" wrapText="true"/>
    </xf>
    <xf numFmtId="0" fontId="5" fillId="7" borderId="0" xfId="0" quotePrefix="false" pivotButton="false" applyAlignment="true">
      <alignment horizontal="left" vertical="center" wrapText="true"/>
    </xf>
    <xf numFmtId="0" fontId="7" fillId="0" borderId="0" xfId="0" quotePrefix="false" pivotButton="false" applyAlignment="true">
      <alignment horizontal="left" vertical="center" wrapText="true"/>
    </xf>
    <xf numFmtId="0" fontId="5" fillId="6" borderId="1" xfId="0" quotePrefix="false" pivotButton="false" applyAlignment="true">
      <alignment horizontal="left" vertical="center" wrapText="true"/>
    </xf>
    <xf numFmtId="0" fontId="6" fillId="6" borderId="1" xfId="0" quotePrefix="false" pivotButton="false" applyAlignment="true">
      <alignment horizontal="left" vertical="center" wrapText="true"/>
    </xf>
    <xf numFmtId="0" fontId="7" fillId="3" borderId="1" xfId="0" quotePrefix="false" pivotButton="false" applyAlignment="true">
      <alignment horizontal="left" vertical="center" wrapText="true"/>
    </xf>
    <xf numFmtId="0" fontId="3" fillId="0" borderId="0" xfId="0" quotePrefix="false" pivotButton="false" applyAlignment="true">
      <alignment horizontal="left" vertical="center" wrapText="true"/>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styles.xml" Type="http://schemas.openxmlformats.org/officeDocument/2006/relationships/styles"></Relationship><Relationship Id="rId5"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tabColor rgb="001F4E79"/>
    <outlinePr summaryBelow="true" summaryRight="true" showOutlineSymbols="false"/>
    <pageSetUpPr/>
  </sheetPr>
  <dimension ref="A1:J31"/>
  <sheetViews>
    <sheetView workbookViewId="0">
      <selection activeCell="A1" sqref="A1"/>
    </sheetView>
  </sheetViews>
  <sheetFormatPr baseColWidth="8" defaultRowHeight="15"/>
  <cols>
    <col customWidth="true" max="1" min="1" width="16"/>
    <col customWidth="true" max="2" min="2" width="24"/>
    <col customWidth="true" max="3" min="3" width="14"/>
    <col customWidth="true" max="4" min="4" width="16"/>
    <col customWidth="true" max="5" min="5" width="12"/>
    <col customWidth="true" max="6" min="6" width="16"/>
    <col customWidth="true" max="7" min="7" width="12"/>
    <col customWidth="true" max="9" min="8" width="16"/>
    <col customWidth="true" max="10" min="10" width="14"/>
  </cols>
  <sheetData>
    <row r="1" ht="30" customHeight="true">
      <c r="A1" s="1" t="inlineStr">
        <is>
          <t>账户核对 — 13:00汇总页与14:30实测对比</t>
        </is>
      </c>
    </row>
    <row r="2">
      <c r="A2" s="2" t="inlineStr">
        <is>
          <t>砻淬资本 2026年9月8日 | 复核时点14:30 | 人民币普通证券账户 | 无负债融资质押</t>
        </is>
      </c>
    </row>
    <row r="3"/>
    <row r="4">
      <c r="A4" s="3" t="inlineStr">
        <is>
          <t>一、总资产核对</t>
        </is>
      </c>
    </row>
    <row r="5">
      <c r="A5" s="4" t="inlineStr">
        <is>
          <t>项目</t>
        </is>
      </c>
      <c r="B5" s="4" t="inlineStr">
        <is>
          <t>13:00汇总页(元)</t>
        </is>
      </c>
      <c r="C5" s="4" t="inlineStr">
        <is>
          <t>14:30实测(元)</t>
        </is>
      </c>
      <c r="D5" s="4" t="inlineStr">
        <is>
          <t>差额(元)</t>
        </is>
      </c>
      <c r="E5" s="4" t="inlineStr">
        <is>
          <t>差额来源说明</t>
        </is>
      </c>
      <c r="F5" s="5" t="n"/>
      <c r="G5" s="5" t="n"/>
      <c r="H5" s="5" t="n"/>
      <c r="I5" s="5" t="n"/>
      <c r="J5" s="6" t="n"/>
    </row>
    <row r="6">
      <c r="A6" s="7" t="inlineStr">
        <is>
          <t>现金</t>
        </is>
      </c>
      <c r="B6" s="8" t="n">
        <v>230000</v>
      </c>
      <c r="C6" s="8" t="n">
        <v>230000</v>
      </c>
      <c r="D6" s="8">
        <f>C6-B6</f>
      </c>
      <c r="E6" s="9" t="inlineStr">
        <is>
          <t>14:30现金仍为230,000元。今日10:12买入电池股4,000股的122,000元已从现金扣除，无其他资金进出</t>
        </is>
      </c>
    </row>
    <row r="7">
      <c r="A7" s="7" t="inlineStr">
        <is>
          <t>证券市值</t>
        </is>
      </c>
      <c r="B7" s="8">
        <f>SUM(F12:F16)</f>
      </c>
      <c r="C7" s="8">
        <f>SUM(H12:H16)</f>
      </c>
      <c r="D7" s="8">
        <f>C7-B7</f>
      </c>
      <c r="E7" s="9" t="inlineStr">
        <is>
          <t>EQ01光伏跌1元×20,000股=-20,000；EQ02电池两批次共20,000股跌1元=-20,000；EQ03和ETF01价格未变。13:00汇总页未随报价更新</t>
        </is>
      </c>
    </row>
    <row r="8">
      <c r="A8" s="7" t="inlineStr">
        <is>
          <t>总资产（净资产）</t>
        </is>
      </c>
      <c r="B8" s="8">
        <f>B6+B7</f>
      </c>
      <c r="C8" s="8">
        <f>C6+C7</f>
      </c>
      <c r="D8" s="8">
        <f>C8-B8</f>
      </c>
      <c r="E8" s="9" t="inlineStr">
        <is>
          <t>差额-40,000元全部来自证券报价变动，无成交费用。后续测算统一采用14:30实测总资产1,990,000元为基准</t>
        </is>
      </c>
    </row>
    <row r="9"/>
    <row r="10">
      <c r="A10" s="3" t="inlineStr">
        <is>
          <t>二、持仓明细（按14:30买一价）</t>
        </is>
      </c>
    </row>
    <row r="11">
      <c r="A11" s="4" t="inlineStr">
        <is>
          <t>代号</t>
        </is>
      </c>
      <c r="B11" s="4" t="inlineStr">
        <is>
          <t>资产/批次</t>
        </is>
      </c>
      <c r="C11" s="4" t="inlineStr">
        <is>
          <t>数量(股/份)</t>
        </is>
      </c>
      <c r="D11" s="4" t="inlineStr">
        <is>
          <t>批次成本(元)</t>
        </is>
      </c>
      <c r="E11" s="4" t="inlineStr">
        <is>
          <t>13:00参考价</t>
        </is>
      </c>
      <c r="F11" s="4" t="inlineStr">
        <is>
          <t>13:00市值(元)</t>
        </is>
      </c>
      <c r="G11" s="4" t="inlineStr">
        <is>
          <t>14:30买一价</t>
        </is>
      </c>
      <c r="H11" s="4" t="inlineStr">
        <is>
          <t>14:30市值(元)</t>
        </is>
      </c>
      <c r="I11" s="4" t="inlineStr">
        <is>
          <t>浮动盈亏(元)</t>
        </is>
      </c>
      <c r="J11" s="4" t="inlineStr">
        <is>
          <t>占14:30总资产权重</t>
        </is>
      </c>
    </row>
    <row r="12">
      <c r="A12" s="10" t="inlineStr">
        <is>
          <t>EQ01</t>
        </is>
      </c>
      <c r="B12" s="11" t="inlineStr">
        <is>
          <t>光伏设备</t>
        </is>
      </c>
      <c r="C12" s="8" t="n">
        <v>20000</v>
      </c>
      <c r="D12" s="8" t="n">
        <v>600000</v>
      </c>
      <c r="E12" s="12" t="n">
        <v>26</v>
      </c>
      <c r="F12" s="8">
        <f>C12*E12</f>
      </c>
      <c r="G12" s="12" t="n">
        <v>25</v>
      </c>
      <c r="H12" s="8">
        <f>C12*G12</f>
      </c>
      <c r="I12" s="13">
        <f>H12-D12</f>
      </c>
      <c r="J12" s="14">
        <f>H12/$C$8</f>
      </c>
    </row>
    <row r="13">
      <c r="A13" s="10" t="inlineStr">
        <is>
          <t>EQ02</t>
        </is>
      </c>
      <c r="B13" s="11" t="inlineStr">
        <is>
          <t>电池制造（批次1·历史持仓）</t>
        </is>
      </c>
      <c r="C13" s="8" t="n">
        <v>16000</v>
      </c>
      <c r="D13" s="8" t="n">
        <v>560000</v>
      </c>
      <c r="E13" s="12" t="n">
        <v>31</v>
      </c>
      <c r="F13" s="8">
        <f>C13*E13</f>
      </c>
      <c r="G13" s="12" t="n">
        <v>30</v>
      </c>
      <c r="H13" s="8">
        <f>C13*G13</f>
      </c>
      <c r="I13" s="13">
        <f>H13-D13</f>
      </c>
      <c r="J13" s="14">
        <f>H13/$C$8</f>
      </c>
    </row>
    <row r="14">
      <c r="A14" s="10" t="inlineStr">
        <is>
          <t>EQ02</t>
        </is>
      </c>
      <c r="B14" s="11" t="inlineStr">
        <is>
          <t>电池制造（批次2·今日10:12买入）</t>
        </is>
      </c>
      <c r="C14" s="8" t="n">
        <v>4000</v>
      </c>
      <c r="D14" s="8" t="n">
        <v>122000</v>
      </c>
      <c r="E14" s="12" t="n">
        <v>31</v>
      </c>
      <c r="F14" s="8">
        <f>C14*E14</f>
      </c>
      <c r="G14" s="12" t="n">
        <v>30</v>
      </c>
      <c r="H14" s="8">
        <f>C14*G14</f>
      </c>
      <c r="I14" s="13">
        <f>H14-D14</f>
      </c>
      <c r="J14" s="14">
        <f>H14/$C$8</f>
      </c>
    </row>
    <row r="15">
      <c r="A15" s="10" t="inlineStr">
        <is>
          <t>EQ03</t>
        </is>
      </c>
      <c r="B15" s="11" t="inlineStr">
        <is>
          <t>公用事业</t>
        </is>
      </c>
      <c r="C15" s="8" t="n">
        <v>30000</v>
      </c>
      <c r="D15" s="8" t="n">
        <v>240000</v>
      </c>
      <c r="E15" s="12" t="n">
        <v>10</v>
      </c>
      <c r="F15" s="8">
        <f>C15*E15</f>
      </c>
      <c r="G15" s="12" t="n">
        <v>10</v>
      </c>
      <c r="H15" s="8">
        <f>C15*G15</f>
      </c>
      <c r="I15" s="8">
        <f>H15-D15</f>
      </c>
      <c r="J15" s="14">
        <f>H15/$C$8</f>
      </c>
    </row>
    <row r="16">
      <c r="A16" s="10" t="inlineStr">
        <is>
          <t>ETF01</t>
        </is>
      </c>
      <c r="B16" s="11" t="inlineStr">
        <is>
          <t>A股宽基ETF</t>
        </is>
      </c>
      <c r="C16" s="8" t="n">
        <v>120000</v>
      </c>
      <c r="D16" s="8" t="n">
        <v>336000</v>
      </c>
      <c r="E16" s="12" t="n">
        <v>3</v>
      </c>
      <c r="F16" s="8">
        <f>C16*E16</f>
      </c>
      <c r="G16" s="12" t="n">
        <v>3</v>
      </c>
      <c r="H16" s="8">
        <f>C16*G16</f>
      </c>
      <c r="I16" s="8">
        <f>H16-D16</f>
      </c>
      <c r="J16" s="14">
        <f>H16/$C$8</f>
      </c>
    </row>
    <row r="17">
      <c r="A17" s="15" t="inlineStr">
        <is>
          <t>合计</t>
        </is>
      </c>
      <c r="B17" s="16" t="inlineStr"/>
      <c r="C17" s="17">
        <f>SUM(C12:C16)</f>
      </c>
      <c r="D17" s="17">
        <f>SUM(D12:D16)</f>
      </c>
      <c r="E17" s="16" t="inlineStr"/>
      <c r="F17" s="17">
        <f>SUM(F12:F16)</f>
      </c>
      <c r="G17" s="16" t="inlineStr"/>
      <c r="H17" s="17">
        <f>SUM(H12:H16)</f>
      </c>
      <c r="I17" s="17">
        <f>SUM(I12:I16)</f>
      </c>
      <c r="J17" s="18">
        <f>SUM(J12:J16)</f>
      </c>
    </row>
    <row r="18"/>
    <row r="19">
      <c r="A19" s="3" t="inlineStr">
        <is>
          <t>三、电池股（EQ02）批次与可卖量说明</t>
        </is>
      </c>
    </row>
    <row r="20">
      <c r="A20" s="19" t="inlineStr">
        <is>
          <t>批次1（历史持仓）：16,000股，成本560,000元（均价35.00元/股），14:30市值480,000元，浮亏80,000元，今日可卖16,000股。</t>
        </is>
      </c>
    </row>
    <row r="21">
      <c r="A21" s="19" t="inlineStr">
        <is>
          <t>批次2（今日10:12买入）：4,000股，成本122,000元（均价30.50元/股），14:30市值120,000元，浮亏2,000元，当日不可卖，下一交易日（9月9日）起方可卖出。该批买入款122,000元已从现金扣除，不得再次扣减。</t>
        </is>
      </c>
    </row>
    <row r="22">
      <c r="A22" s="20" t="inlineStr">
        <is>
          <t>电池股合计：20,000股，成本682,000元，14:30市值600,000元，浮亏82,000元，今日可卖16,000股（仅限批次1）。减仓顺序不以账面亏损大小排列，而以组合风险贡献和约束满足度排列。</t>
        </is>
      </c>
    </row>
    <row r="23"/>
    <row r="24">
      <c r="A24" s="3" t="inlineStr">
        <is>
          <t>四、当前约束满足情况（14:30未调整）</t>
        </is>
      </c>
    </row>
    <row r="25">
      <c r="A25" s="4" t="inlineStr">
        <is>
          <t>约束项</t>
        </is>
      </c>
      <c r="B25" s="4" t="inlineStr">
        <is>
          <t>阈值</t>
        </is>
      </c>
      <c r="C25" s="4" t="inlineStr">
        <is>
          <t>当前值</t>
        </is>
      </c>
      <c r="D25" s="4" t="inlineStr">
        <is>
          <t>是否满足</t>
        </is>
      </c>
      <c r="E25" s="4" t="inlineStr">
        <is>
          <t>说明</t>
        </is>
      </c>
      <c r="F25" s="5" t="n"/>
      <c r="G25" s="5" t="n"/>
      <c r="H25" s="5" t="n"/>
      <c r="I25" s="5" t="n"/>
      <c r="J25" s="6" t="n"/>
    </row>
    <row r="26">
      <c r="A26" s="11" t="inlineStr">
        <is>
          <t>单只股票≤净资产25%</t>
        </is>
      </c>
      <c r="B26" s="14" t="n">
        <v>0.25</v>
      </c>
      <c r="C26" s="14">
        <f>MAX(H12,H13+H14,H15,H16)/C8</f>
      </c>
      <c r="D26" s="21">
        <f>IF(C26&lt;=B26,"满足","不满足")</f>
      </c>
      <c r="E26" s="9" t="inlineStr">
        <is>
          <t>EQ02电池合计600,000元占30.15%超限；EQ01光伏25.13%微超</t>
        </is>
      </c>
    </row>
    <row r="27">
      <c r="A27" s="11" t="inlineStr">
        <is>
          <t>新能源（光伏+电池）≤净资产45%</t>
        </is>
      </c>
      <c r="B27" s="14" t="n">
        <v>0.45</v>
      </c>
      <c r="C27" s="14">
        <f>(H12+H13+H14)/C8</f>
      </c>
      <c r="D27" s="21">
        <f>IF(C27&lt;=B27,"满足","不满足")</f>
      </c>
      <c r="E27" s="9" t="inlineStr">
        <is>
          <t>光伏500,000+电池600,000=1,100,000元，占55.28%，严重超限</t>
        </is>
      </c>
    </row>
    <row r="28">
      <c r="A28" s="11" t="inlineStr">
        <is>
          <t>现金≥300,000元</t>
        </is>
      </c>
      <c r="B28" s="8" t="n">
        <v>300000</v>
      </c>
      <c r="C28" s="8">
        <f>C6</f>
      </c>
      <c r="D28" s="21">
        <f>IF(C28&gt;=B28,"满足","不满足")</f>
      </c>
      <c r="E28" s="9" t="inlineStr">
        <is>
          <t>现金230,000元，缺口70,000元</t>
        </is>
      </c>
    </row>
    <row r="29">
      <c r="A29" s="11" t="inlineStr">
        <is>
          <t>联动情景损失≤净资产12%</t>
        </is>
      </c>
      <c r="B29" s="14" t="n">
        <v>0.12</v>
      </c>
      <c r="C29" s="14">
        <f>(H12*0.25+(H13+H14)*0.25+H15*0.08+H16*0.12)/C8</f>
      </c>
      <c r="D29" s="21">
        <f>IF(C29&lt;=B29,"满足","不满足")</f>
      </c>
      <c r="E29" s="9" t="inlineStr">
        <is>
          <t>联动冲击：光伏-25%、电池-25%、公用事业-8%、ETF-12%，损失342,200元，损失率17.20%超限</t>
        </is>
      </c>
    </row>
    <row r="30"/>
    <row r="31" ht="30" customHeight="true">
      <c r="A31" s="22" t="inlineStr">
        <is>
          <t>小结：14:30未调整状态下四项约束全部不满足。仅靠"只卖盈利品种"无法解决集中度和联动风险问题，因为亏损品种恰是风险最高的新能源。</t>
        </is>
      </c>
    </row>
  </sheetData>
  <mergeCells count="15">
    <mergeCell ref="E25:J25"/>
    <mergeCell ref="A1:J1"/>
    <mergeCell ref="A31:J31"/>
    <mergeCell ref="E28:J28"/>
    <mergeCell ref="A22:J22"/>
    <mergeCell ref="E27:J27"/>
    <mergeCell ref="E5:J5"/>
    <mergeCell ref="A21:J21"/>
    <mergeCell ref="E8:J8"/>
    <mergeCell ref="A20:J20"/>
    <mergeCell ref="E26:J26"/>
    <mergeCell ref="A2:J2"/>
    <mergeCell ref="E6:J6"/>
    <mergeCell ref="E29:J29"/>
    <mergeCell ref="E7:J7"/>
  </mergeCells>
  <pageMargins left="0.75" right="0.75" top="1" bottom="1" header="0.5" footer="0.5"/>
  <picture r:id="rId1"/>
</worksheet>
</file>

<file path=xl/worksheets/sheet2.xml><?xml version="1.0" encoding="utf-8"?>
<worksheet xmlns="http://schemas.openxmlformats.org/spreadsheetml/2006/main" xmlns:r="http://schemas.openxmlformats.org/officeDocument/2006/relationships" xmlns:mc="http://schemas.openxmlformats.org/markup-compatibility/2006">
  <sheetPr>
    <tabColor rgb="002E7D32"/>
    <outlinePr summaryBelow="true" summaryRight="true" showOutlineSymbols="false"/>
    <pageSetUpPr/>
  </sheetPr>
  <dimension ref="A1:I153"/>
  <sheetViews>
    <sheetView workbookViewId="0">
      <selection activeCell="A1" sqref="A1"/>
    </sheetView>
  </sheetViews>
  <sheetFormatPr baseColWidth="8" defaultRowHeight="15"/>
  <cols>
    <col customWidth="true" max="1" min="1" width="22"/>
    <col customWidth="true" max="2" min="2" width="16"/>
    <col customWidth="true" max="3" min="3" width="14"/>
    <col customWidth="true" max="4" min="4" width="16"/>
    <col customWidth="true" max="5" min="5" width="14"/>
    <col customWidth="true" max="7" min="6" width="16"/>
    <col customWidth="true" max="8" min="8" width="18"/>
    <col customWidth="true" max="9" min="9" width="14"/>
  </cols>
  <sheetData>
    <row r="1" ht="30" customHeight="true">
      <c r="A1" s="1" t="inlineStr">
        <is>
          <t>调整与情景测算 — 两种减仓方案对比、约束检查、今日与次日条件计划</t>
        </is>
      </c>
    </row>
    <row r="2">
      <c r="A2" s="2" t="inlineStr">
        <is>
          <t>砻淬资本 2026年9月8日 | 测算基准：14:30买一价 | 分母：扣除该方案卖出费用后的净资产 | 现金不受联动冲击</t>
        </is>
      </c>
    </row>
    <row r="3"/>
    <row r="4">
      <c r="A4" s="3" t="inlineStr">
        <is>
          <t>一、测算参数（修改此处可联动重算全部方案）</t>
        </is>
      </c>
    </row>
    <row r="5">
      <c r="A5" s="4" t="inlineStr">
        <is>
          <t>参数</t>
        </is>
      </c>
      <c r="B5" s="4" t="inlineStr">
        <is>
          <t>数值</t>
        </is>
      </c>
      <c r="C5" s="4" t="inlineStr">
        <is>
          <t>说明</t>
        </is>
      </c>
      <c r="D5" s="5" t="n"/>
      <c r="E5" s="5" t="n"/>
      <c r="F5" s="5" t="n"/>
      <c r="G5" s="5" t="n"/>
      <c r="H5" s="5" t="n"/>
      <c r="I5" s="6" t="n"/>
    </row>
    <row r="6">
      <c r="A6" s="11" t="inlineStr">
        <is>
          <t>股票卖出费率</t>
        </is>
      </c>
      <c r="B6" s="23" t="n">
        <v>0.0008</v>
      </c>
      <c r="C6" s="9" t="inlineStr">
        <is>
          <t>按成交额0.08%，EQ01/EQ02/EQ03适用</t>
        </is>
      </c>
    </row>
    <row r="7">
      <c r="A7" s="11" t="inlineStr">
        <is>
          <t>ETF卖出费率</t>
        </is>
      </c>
      <c r="B7" s="23" t="n">
        <v>0.0003</v>
      </c>
      <c r="C7" s="9" t="inlineStr">
        <is>
          <t>按成交额0.03%，ETF01适用</t>
        </is>
      </c>
    </row>
    <row r="8">
      <c r="A8" s="11" t="inlineStr">
        <is>
          <t>每笔最低费用(元)</t>
        </is>
      </c>
      <c r="B8" s="24" t="n">
        <v>5</v>
      </c>
      <c r="C8" s="9" t="inlineStr">
        <is>
          <t>每品种每日合并为一笔，不足5元按5元</t>
        </is>
      </c>
    </row>
    <row r="9">
      <c r="A9" s="11" t="inlineStr">
        <is>
          <t>光伏/电池联动冲击</t>
        </is>
      </c>
      <c r="B9" s="23" t="n">
        <v>0.25</v>
      </c>
      <c r="C9" s="9" t="inlineStr">
        <is>
          <t>联动情景中光伏、电池同时下跌25%</t>
        </is>
      </c>
    </row>
    <row r="10">
      <c r="A10" s="11" t="inlineStr">
        <is>
          <t>公用事业联动冲击</t>
        </is>
      </c>
      <c r="B10" s="23" t="n">
        <v>0.08</v>
      </c>
      <c r="C10" s="9" t="inlineStr">
        <is>
          <t>联动情景中公用事业下跌8%</t>
        </is>
      </c>
    </row>
    <row r="11">
      <c r="A11" s="11" t="inlineStr">
        <is>
          <t>ETF联动冲击</t>
        </is>
      </c>
      <c r="B11" s="23" t="n">
        <v>0.12</v>
      </c>
      <c r="C11" s="9" t="inlineStr">
        <is>
          <t>联动情景中宽基ETF下跌12%</t>
        </is>
      </c>
    </row>
    <row r="12">
      <c r="A12" s="11" t="inlineStr">
        <is>
          <t>单只股票上限</t>
        </is>
      </c>
      <c r="B12" s="23" t="n">
        <v>0.25</v>
      </c>
      <c r="C12" s="9" t="inlineStr">
        <is>
          <t>调整后单只股票市值≤净资产25%</t>
        </is>
      </c>
    </row>
    <row r="13">
      <c r="A13" s="11" t="inlineStr">
        <is>
          <t>新能源合计上限</t>
        </is>
      </c>
      <c r="B13" s="23" t="n">
        <v>0.45</v>
      </c>
      <c r="C13" s="9" t="inlineStr">
        <is>
          <t>光伏+电池合计市值≤净资产45%</t>
        </is>
      </c>
    </row>
    <row r="14">
      <c r="A14" s="11" t="inlineStr">
        <is>
          <t>现金下限(元)</t>
        </is>
      </c>
      <c r="B14" s="24" t="n">
        <v>300000</v>
      </c>
      <c r="C14" s="9" t="inlineStr">
        <is>
          <t>调整后现金≥300,000元</t>
        </is>
      </c>
    </row>
    <row r="15">
      <c r="A15" s="11" t="inlineStr">
        <is>
          <t>联动损失上限</t>
        </is>
      </c>
      <c r="B15" s="23" t="n">
        <v>0.12</v>
      </c>
      <c r="C15" s="9" t="inlineStr">
        <is>
          <t>联动情景损失率≤净资产12%</t>
        </is>
      </c>
    </row>
    <row r="16"/>
    <row r="17" ht="24" customHeight="true">
      <c r="A17" s="25" t="inlineStr">
        <is>
          <t>二、未调整基准（14:30持仓，不计假设交易费用）</t>
        </is>
      </c>
    </row>
    <row r="18">
      <c r="A18" s="4" t="inlineStr">
        <is>
          <t>品种</t>
        </is>
      </c>
      <c r="B18" s="4" t="inlineStr">
        <is>
          <t>拟卖数量</t>
        </is>
      </c>
      <c r="C18" s="4" t="inlineStr">
        <is>
          <t>卖出价(元)</t>
        </is>
      </c>
      <c r="D18" s="4" t="inlineStr">
        <is>
          <t>成交额(元)</t>
        </is>
      </c>
      <c r="E18" s="4" t="inlineStr">
        <is>
          <t>费率</t>
        </is>
      </c>
      <c r="F18" s="4" t="inlineStr">
        <is>
          <t>费用(元)</t>
        </is>
      </c>
      <c r="G18" s="4" t="inlineStr">
        <is>
          <t>净收入(元)</t>
        </is>
      </c>
      <c r="H18" s="4" t="inlineStr">
        <is>
          <t>备注</t>
        </is>
      </c>
      <c r="I18" s="6" t="n"/>
    </row>
    <row r="19">
      <c r="A19" s="11" t="inlineStr">
        <is>
          <t>EQ01 光伏设备</t>
        </is>
      </c>
      <c r="B19" s="8" t="n">
        <v>0</v>
      </c>
      <c r="C19" s="12" t="n">
        <v>25</v>
      </c>
      <c r="D19" s="8">
        <f>B19*C19</f>
      </c>
      <c r="E19" s="14">
        <f>$B$6</f>
      </c>
      <c r="F19" s="8">
        <f>IF(D19=0,0,MAX(D19*E19,$B$8))</f>
      </c>
      <c r="G19" s="8">
        <f>D19-F19</f>
      </c>
      <c r="H19" s="9" t="inlineStr"/>
    </row>
    <row r="20">
      <c r="A20" s="11" t="inlineStr">
        <is>
          <t>EQ02 电池制造(批次1)</t>
        </is>
      </c>
      <c r="B20" s="8" t="n">
        <v>0</v>
      </c>
      <c r="C20" s="12" t="n">
        <v>30</v>
      </c>
      <c r="D20" s="8">
        <f>B20*C20</f>
      </c>
      <c r="E20" s="14">
        <f>$B$6</f>
      </c>
      <c r="F20" s="8">
        <f>IF(D20=0,0,MAX(D20*E20,$B$8))</f>
      </c>
      <c r="G20" s="8">
        <f>D20-F20</f>
      </c>
      <c r="H20" s="9" t="inlineStr">
        <is>
          <t>仅批次1可卖；批次24000股今日不可卖</t>
        </is>
      </c>
    </row>
    <row r="21">
      <c r="A21" s="11" t="inlineStr">
        <is>
          <t>EQ03 公用事业</t>
        </is>
      </c>
      <c r="B21" s="8" t="n">
        <v>0</v>
      </c>
      <c r="C21" s="12" t="n">
        <v>10</v>
      </c>
      <c r="D21" s="8">
        <f>B21*C21</f>
      </c>
      <c r="E21" s="14">
        <f>$B$6</f>
      </c>
      <c r="F21" s="8">
        <f>IF(D21=0,0,MAX(D21*E21,$B$8))</f>
      </c>
      <c r="G21" s="8">
        <f>D21-F21</f>
      </c>
      <c r="H21" s="9" t="inlineStr"/>
    </row>
    <row r="22">
      <c r="A22" s="11" t="inlineStr">
        <is>
          <t>ETF01 A股宽基ETF</t>
        </is>
      </c>
      <c r="B22" s="8" t="n">
        <v>0</v>
      </c>
      <c r="C22" s="12" t="n">
        <v>3</v>
      </c>
      <c r="D22" s="8">
        <f>B22*C22</f>
      </c>
      <c r="E22" s="14">
        <f>$B$7</f>
      </c>
      <c r="F22" s="8">
        <f>IF(D22=0,0,MAX(D22*E22,$B$8))</f>
      </c>
      <c r="G22" s="8">
        <f>D22-F22</f>
      </c>
      <c r="H22" s="9" t="inlineStr"/>
    </row>
    <row r="23">
      <c r="A23" s="26" t="inlineStr">
        <is>
          <t>卖出合计</t>
        </is>
      </c>
      <c r="B23" s="17">
        <f>SUM(B19:B22)</f>
      </c>
      <c r="C23" s="16" t="inlineStr"/>
      <c r="D23" s="17">
        <f>SUM(D19:D22)</f>
      </c>
      <c r="E23" s="16" t="inlineStr"/>
      <c r="F23" s="17">
        <f>SUM(F19:F22)</f>
      </c>
      <c r="G23" s="17">
        <f>SUM(G19:G22)</f>
      </c>
      <c r="H23" s="16" t="inlineStr"/>
    </row>
    <row r="24"/>
    <row r="25">
      <c r="A25" s="4" t="inlineStr">
        <is>
          <t>品种</t>
        </is>
      </c>
      <c r="B25" s="4" t="inlineStr">
        <is>
          <t>剩余数量</t>
        </is>
      </c>
      <c r="C25" s="4" t="inlineStr">
        <is>
          <t>14:30价(元)</t>
        </is>
      </c>
      <c r="D25" s="4" t="inlineStr">
        <is>
          <t>剩余市值(元)</t>
        </is>
      </c>
      <c r="E25" s="4" t="inlineStr">
        <is>
          <t>占净资产权重</t>
        </is>
      </c>
      <c r="F25" s="5" t="n"/>
      <c r="G25" s="5" t="n"/>
      <c r="H25" s="5" t="n"/>
      <c r="I25" s="6" t="n"/>
    </row>
    <row r="26">
      <c r="A26" s="11" t="inlineStr">
        <is>
          <t>EQ01 光伏设备</t>
        </is>
      </c>
      <c r="B26" s="8">
        <f>20000-B19</f>
      </c>
      <c r="C26" s="12" t="n">
        <v>25</v>
      </c>
      <c r="D26" s="8">
        <f>B26*C26</f>
      </c>
      <c r="E26" s="14">
        <f>D26/$D$31</f>
      </c>
      <c r="F26" s="5" t="n"/>
      <c r="G26" s="5" t="n"/>
      <c r="H26" s="5" t="n"/>
      <c r="I26" s="6" t="n"/>
    </row>
    <row r="27">
      <c r="A27" s="11" t="inlineStr">
        <is>
          <t>EQ02 电池制造(合计)</t>
        </is>
      </c>
      <c r="B27" s="8">
        <f>20000-B20</f>
      </c>
      <c r="C27" s="12" t="n">
        <v>30</v>
      </c>
      <c r="D27" s="8">
        <f>B27*C27</f>
      </c>
      <c r="E27" s="14">
        <f>D27/$D$31</f>
      </c>
      <c r="F27" s="5" t="n"/>
      <c r="G27" s="5" t="n"/>
      <c r="H27" s="5" t="n"/>
      <c r="I27" s="6" t="n"/>
    </row>
    <row r="28">
      <c r="A28" s="11" t="inlineStr">
        <is>
          <t>EQ03 公用事业</t>
        </is>
      </c>
      <c r="B28" s="8">
        <f>30000-B21</f>
      </c>
      <c r="C28" s="12" t="n">
        <v>10</v>
      </c>
      <c r="D28" s="8">
        <f>B28*C28</f>
      </c>
      <c r="E28" s="14">
        <f>D28/$D$31</f>
      </c>
      <c r="F28" s="5" t="n"/>
      <c r="G28" s="5" t="n"/>
      <c r="H28" s="5" t="n"/>
      <c r="I28" s="6" t="n"/>
    </row>
    <row r="29">
      <c r="A29" s="11" t="inlineStr">
        <is>
          <t>ETF01 A股宽基ETF</t>
        </is>
      </c>
      <c r="B29" s="8">
        <f>120000-B22</f>
      </c>
      <c r="C29" s="12" t="n">
        <v>3</v>
      </c>
      <c r="D29" s="8">
        <f>B29*C29</f>
      </c>
      <c r="E29" s="14">
        <f>D29/$D$31</f>
      </c>
      <c r="F29" s="5" t="n"/>
      <c r="G29" s="5" t="n"/>
      <c r="H29" s="5" t="n"/>
      <c r="I29" s="6" t="n"/>
    </row>
    <row r="30">
      <c r="A30" s="7" t="inlineStr">
        <is>
          <t>现金</t>
        </is>
      </c>
      <c r="B30" s="27" t="inlineStr"/>
      <c r="C30" s="27" t="inlineStr"/>
      <c r="D30" s="24">
        <f>230000+G23</f>
      </c>
      <c r="E30" s="14">
        <f>D30/$D$31</f>
      </c>
      <c r="F30" s="5" t="n"/>
      <c r="G30" s="5" t="n"/>
      <c r="H30" s="5" t="n"/>
      <c r="I30" s="6" t="n"/>
    </row>
    <row r="31">
      <c r="A31" s="28" t="inlineStr">
        <is>
          <t>净资产（扣费用后）</t>
        </is>
      </c>
      <c r="B31" s="16" t="inlineStr"/>
      <c r="C31" s="16" t="inlineStr"/>
      <c r="D31" s="17">
        <f>SUM(D26:D30)</f>
      </c>
      <c r="E31" s="18">
        <f>SUM(E26:E30)</f>
      </c>
      <c r="F31" s="5" t="n"/>
      <c r="G31" s="5" t="n"/>
      <c r="H31" s="5" t="n"/>
      <c r="I31" s="6" t="n"/>
    </row>
    <row r="32"/>
    <row r="33">
      <c r="A33" s="4" t="inlineStr">
        <is>
          <t>约束项</t>
        </is>
      </c>
      <c r="B33" s="4" t="inlineStr">
        <is>
          <t>阈值</t>
        </is>
      </c>
      <c r="C33" s="4" t="inlineStr">
        <is>
          <t>实际值</t>
        </is>
      </c>
      <c r="D33" s="4" t="inlineStr">
        <is>
          <t>是否满足</t>
        </is>
      </c>
      <c r="E33" s="4" t="inlineStr">
        <is>
          <t>说明</t>
        </is>
      </c>
      <c r="F33" s="5" t="n"/>
      <c r="G33" s="5" t="n"/>
      <c r="H33" s="5" t="n"/>
      <c r="I33" s="6" t="n"/>
    </row>
    <row r="34">
      <c r="A34" s="11" t="inlineStr">
        <is>
          <t>单只股票≤净资产25%</t>
        </is>
      </c>
      <c r="B34" s="14">
        <f>$B$12</f>
      </c>
      <c r="C34" s="14">
        <f>MAX(D26,D27,D28,D29)/$D$31</f>
      </c>
      <c r="D34" s="29">
        <f>IF(C34&lt;=B34,"满足","不满足")</f>
      </c>
      <c r="E34" s="9" t="inlineStr">
        <is>
          <t>取四只证券中市值最大者与净资产比较</t>
        </is>
      </c>
    </row>
    <row r="35">
      <c r="A35" s="11" t="inlineStr">
        <is>
          <t>新能源合计≤净资产45%</t>
        </is>
      </c>
      <c r="B35" s="14">
        <f>$B$13</f>
      </c>
      <c r="C35" s="14">
        <f>(D26+D27)/$D$31</f>
      </c>
      <c r="D35" s="29">
        <f>IF(C35&lt;=B35,"满足","不满足")</f>
      </c>
      <c r="E35" s="9" t="inlineStr">
        <is>
          <t>光伏+电池合计市值占净资产比例</t>
        </is>
      </c>
    </row>
    <row r="36">
      <c r="A36" s="11" t="inlineStr">
        <is>
          <t>现金≥300,000元</t>
        </is>
      </c>
      <c r="B36" s="8">
        <f>$B$14</f>
      </c>
      <c r="C36" s="8">
        <f>D30</f>
      </c>
      <c r="D36" s="29">
        <f>IF(C36&gt;=B36,"满足","不满足")</f>
      </c>
      <c r="E36" s="9" t="inlineStr">
        <is>
          <t>调整后现金余额（含卖出净收入）</t>
        </is>
      </c>
    </row>
    <row r="37">
      <c r="A37" s="11" t="inlineStr">
        <is>
          <t>联动情景损失≤净资产12%</t>
        </is>
      </c>
      <c r="B37" s="14">
        <f>$B$15</f>
      </c>
      <c r="C37" s="14">
        <f>(D26*$B$9+D27*$B$9+D28*$B$10+D29*$B$11)/$D$31</f>
      </c>
      <c r="D37" s="29">
        <f>IF(C37&lt;=B37,"满足","不满足")</f>
      </c>
      <c r="E37" s="9" t="inlineStr">
        <is>
          <t>联动冲击造成的剩余持仓市值减少额÷冲击前净资产；现金不受冲击</t>
        </is>
      </c>
    </row>
    <row r="38"/>
    <row r="39" ht="24" customHeight="true">
      <c r="A39" s="30" t="inlineStr">
        <is>
          <t>三、方案A：只卖盈利品种（卖出全部公用事业和宽基ETF，保留全部光伏和电池）</t>
        </is>
      </c>
    </row>
    <row r="40">
      <c r="A40" s="4" t="inlineStr">
        <is>
          <t>品种</t>
        </is>
      </c>
      <c r="B40" s="4" t="inlineStr">
        <is>
          <t>拟卖数量</t>
        </is>
      </c>
      <c r="C40" s="4" t="inlineStr">
        <is>
          <t>卖出价(元)</t>
        </is>
      </c>
      <c r="D40" s="4" t="inlineStr">
        <is>
          <t>成交额(元)</t>
        </is>
      </c>
      <c r="E40" s="4" t="inlineStr">
        <is>
          <t>费率</t>
        </is>
      </c>
      <c r="F40" s="4" t="inlineStr">
        <is>
          <t>费用(元)</t>
        </is>
      </c>
      <c r="G40" s="4" t="inlineStr">
        <is>
          <t>净收入(元)</t>
        </is>
      </c>
      <c r="H40" s="4" t="inlineStr">
        <is>
          <t>备注</t>
        </is>
      </c>
      <c r="I40" s="6" t="n"/>
    </row>
    <row r="41">
      <c r="A41" s="11" t="inlineStr">
        <is>
          <t>EQ01 光伏设备</t>
        </is>
      </c>
      <c r="B41" s="8" t="n">
        <v>0</v>
      </c>
      <c r="C41" s="12" t="n">
        <v>25</v>
      </c>
      <c r="D41" s="8">
        <f>B41*C41</f>
      </c>
      <c r="E41" s="14">
        <f>$B$6</f>
      </c>
      <c r="F41" s="8">
        <f>IF(D41=0,0,MAX(D41*E41,$B$8))</f>
      </c>
      <c r="G41" s="8">
        <f>D41-F41</f>
      </c>
      <c r="H41" s="9" t="inlineStr"/>
    </row>
    <row r="42">
      <c r="A42" s="11" t="inlineStr">
        <is>
          <t>EQ02 电池制造(批次1)</t>
        </is>
      </c>
      <c r="B42" s="8" t="n">
        <v>0</v>
      </c>
      <c r="C42" s="12" t="n">
        <v>30</v>
      </c>
      <c r="D42" s="8">
        <f>B42*C42</f>
      </c>
      <c r="E42" s="14">
        <f>$B$6</f>
      </c>
      <c r="F42" s="8">
        <f>IF(D42=0,0,MAX(D42*E42,$B$8))</f>
      </c>
      <c r="G42" s="8">
        <f>D42-F42</f>
      </c>
      <c r="H42" s="9" t="inlineStr">
        <is>
          <t>仅批次1可卖；批次24000股今日不可卖</t>
        </is>
      </c>
    </row>
    <row r="43">
      <c r="A43" s="11" t="inlineStr">
        <is>
          <t>EQ03 公用事业</t>
        </is>
      </c>
      <c r="B43" s="8" t="n">
        <v>30000</v>
      </c>
      <c r="C43" s="12" t="n">
        <v>10</v>
      </c>
      <c r="D43" s="8">
        <f>B43*C43</f>
      </c>
      <c r="E43" s="14">
        <f>$B$6</f>
      </c>
      <c r="F43" s="8">
        <f>IF(D43=0,0,MAX(D43*E43,$B$8))</f>
      </c>
      <c r="G43" s="8">
        <f>D43-F43</f>
      </c>
      <c r="H43" s="9" t="inlineStr"/>
    </row>
    <row r="44">
      <c r="A44" s="11" t="inlineStr">
        <is>
          <t>ETF01 A股宽基ETF</t>
        </is>
      </c>
      <c r="B44" s="8" t="n">
        <v>120000</v>
      </c>
      <c r="C44" s="12" t="n">
        <v>3</v>
      </c>
      <c r="D44" s="8">
        <f>B44*C44</f>
      </c>
      <c r="E44" s="14">
        <f>$B$7</f>
      </c>
      <c r="F44" s="8">
        <f>IF(D44=0,0,MAX(D44*E44,$B$8))</f>
      </c>
      <c r="G44" s="8">
        <f>D44-F44</f>
      </c>
      <c r="H44" s="9" t="inlineStr"/>
    </row>
    <row r="45">
      <c r="A45" s="26" t="inlineStr">
        <is>
          <t>卖出合计</t>
        </is>
      </c>
      <c r="B45" s="17">
        <f>SUM(B41:B44)</f>
      </c>
      <c r="C45" s="16" t="inlineStr"/>
      <c r="D45" s="17">
        <f>SUM(D41:D44)</f>
      </c>
      <c r="E45" s="16" t="inlineStr"/>
      <c r="F45" s="17">
        <f>SUM(F41:F44)</f>
      </c>
      <c r="G45" s="17">
        <f>SUM(G41:G44)</f>
      </c>
      <c r="H45" s="16" t="inlineStr"/>
    </row>
    <row r="46"/>
    <row r="47">
      <c r="A47" s="4" t="inlineStr">
        <is>
          <t>品种</t>
        </is>
      </c>
      <c r="B47" s="4" t="inlineStr">
        <is>
          <t>剩余数量</t>
        </is>
      </c>
      <c r="C47" s="4" t="inlineStr">
        <is>
          <t>14:30价(元)</t>
        </is>
      </c>
      <c r="D47" s="4" t="inlineStr">
        <is>
          <t>剩余市值(元)</t>
        </is>
      </c>
      <c r="E47" s="4" t="inlineStr">
        <is>
          <t>占净资产权重</t>
        </is>
      </c>
      <c r="F47" s="5" t="n"/>
      <c r="G47" s="5" t="n"/>
      <c r="H47" s="5" t="n"/>
      <c r="I47" s="6" t="n"/>
    </row>
    <row r="48">
      <c r="A48" s="11" t="inlineStr">
        <is>
          <t>EQ01 光伏设备</t>
        </is>
      </c>
      <c r="B48" s="8">
        <f>20000-B41</f>
      </c>
      <c r="C48" s="12" t="n">
        <v>25</v>
      </c>
      <c r="D48" s="8">
        <f>B48*C48</f>
      </c>
      <c r="E48" s="14">
        <f>D48/$D$53</f>
      </c>
      <c r="F48" s="5" t="n"/>
      <c r="G48" s="5" t="n"/>
      <c r="H48" s="5" t="n"/>
      <c r="I48" s="6" t="n"/>
    </row>
    <row r="49">
      <c r="A49" s="11" t="inlineStr">
        <is>
          <t>EQ02 电池制造(合计)</t>
        </is>
      </c>
      <c r="B49" s="8">
        <f>20000-B42</f>
      </c>
      <c r="C49" s="12" t="n">
        <v>30</v>
      </c>
      <c r="D49" s="8">
        <f>B49*C49</f>
      </c>
      <c r="E49" s="14">
        <f>D49/$D$53</f>
      </c>
      <c r="F49" s="5" t="n"/>
      <c r="G49" s="5" t="n"/>
      <c r="H49" s="5" t="n"/>
      <c r="I49" s="6" t="n"/>
    </row>
    <row r="50">
      <c r="A50" s="11" t="inlineStr">
        <is>
          <t>EQ03 公用事业</t>
        </is>
      </c>
      <c r="B50" s="8">
        <f>30000-B43</f>
      </c>
      <c r="C50" s="12" t="n">
        <v>10</v>
      </c>
      <c r="D50" s="8">
        <f>B50*C50</f>
      </c>
      <c r="E50" s="14">
        <f>D50/$D$53</f>
      </c>
      <c r="F50" s="5" t="n"/>
      <c r="G50" s="5" t="n"/>
      <c r="H50" s="5" t="n"/>
      <c r="I50" s="6" t="n"/>
    </row>
    <row r="51">
      <c r="A51" s="11" t="inlineStr">
        <is>
          <t>ETF01 A股宽基ETF</t>
        </is>
      </c>
      <c r="B51" s="8">
        <f>120000-B44</f>
      </c>
      <c r="C51" s="12" t="n">
        <v>3</v>
      </c>
      <c r="D51" s="8">
        <f>B51*C51</f>
      </c>
      <c r="E51" s="14">
        <f>D51/$D$53</f>
      </c>
      <c r="F51" s="5" t="n"/>
      <c r="G51" s="5" t="n"/>
      <c r="H51" s="5" t="n"/>
      <c r="I51" s="6" t="n"/>
    </row>
    <row r="52">
      <c r="A52" s="7" t="inlineStr">
        <is>
          <t>现金</t>
        </is>
      </c>
      <c r="B52" s="27" t="inlineStr"/>
      <c r="C52" s="27" t="inlineStr"/>
      <c r="D52" s="24">
        <f>230000+G45</f>
      </c>
      <c r="E52" s="14">
        <f>D52/$D$53</f>
      </c>
      <c r="F52" s="5" t="n"/>
      <c r="G52" s="5" t="n"/>
      <c r="H52" s="5" t="n"/>
      <c r="I52" s="6" t="n"/>
    </row>
    <row r="53">
      <c r="A53" s="28" t="inlineStr">
        <is>
          <t>净资产（扣费用后）</t>
        </is>
      </c>
      <c r="B53" s="16" t="inlineStr"/>
      <c r="C53" s="16" t="inlineStr"/>
      <c r="D53" s="17">
        <f>SUM(D48:D52)</f>
      </c>
      <c r="E53" s="18">
        <f>SUM(E48:E52)</f>
      </c>
      <c r="F53" s="5" t="n"/>
      <c r="G53" s="5" t="n"/>
      <c r="H53" s="5" t="n"/>
      <c r="I53" s="6" t="n"/>
    </row>
    <row r="54"/>
    <row r="55">
      <c r="A55" s="4" t="inlineStr">
        <is>
          <t>约束项</t>
        </is>
      </c>
      <c r="B55" s="4" t="inlineStr">
        <is>
          <t>阈值</t>
        </is>
      </c>
      <c r="C55" s="4" t="inlineStr">
        <is>
          <t>实际值</t>
        </is>
      </c>
      <c r="D55" s="4" t="inlineStr">
        <is>
          <t>是否满足</t>
        </is>
      </c>
      <c r="E55" s="4" t="inlineStr">
        <is>
          <t>说明</t>
        </is>
      </c>
      <c r="F55" s="5" t="n"/>
      <c r="G55" s="5" t="n"/>
      <c r="H55" s="5" t="n"/>
      <c r="I55" s="6" t="n"/>
    </row>
    <row r="56">
      <c r="A56" s="11" t="inlineStr">
        <is>
          <t>单只股票≤净资产25%</t>
        </is>
      </c>
      <c r="B56" s="14">
        <f>$B$12</f>
      </c>
      <c r="C56" s="14">
        <f>MAX(D48,D49,D50,D51)/$D$53</f>
      </c>
      <c r="D56" s="29">
        <f>IF(C56&lt;=B56,"满足","不满足")</f>
      </c>
      <c r="E56" s="9" t="inlineStr">
        <is>
          <t>取四只证券中市值最大者与净资产比较</t>
        </is>
      </c>
    </row>
    <row r="57">
      <c r="A57" s="11" t="inlineStr">
        <is>
          <t>新能源合计≤净资产45%</t>
        </is>
      </c>
      <c r="B57" s="14">
        <f>$B$13</f>
      </c>
      <c r="C57" s="14">
        <f>(D48+D49)/$D$53</f>
      </c>
      <c r="D57" s="29">
        <f>IF(C57&lt;=B57,"满足","不满足")</f>
      </c>
      <c r="E57" s="9" t="inlineStr">
        <is>
          <t>光伏+电池合计市值占净资产比例</t>
        </is>
      </c>
    </row>
    <row r="58">
      <c r="A58" s="11" t="inlineStr">
        <is>
          <t>现金≥300,000元</t>
        </is>
      </c>
      <c r="B58" s="8">
        <f>$B$14</f>
      </c>
      <c r="C58" s="8">
        <f>D52</f>
      </c>
      <c r="D58" s="29">
        <f>IF(C58&gt;=B58,"满足","不满足")</f>
      </c>
      <c r="E58" s="9" t="inlineStr">
        <is>
          <t>调整后现金余额（含卖出净收入）</t>
        </is>
      </c>
    </row>
    <row r="59">
      <c r="A59" s="11" t="inlineStr">
        <is>
          <t>联动情景损失≤净资产12%</t>
        </is>
      </c>
      <c r="B59" s="14">
        <f>$B$15</f>
      </c>
      <c r="C59" s="14">
        <f>(D48*$B$9+D49*$B$9+D50*$B$10+D51*$B$11)/$D$53</f>
      </c>
      <c r="D59" s="29">
        <f>IF(C59&lt;=B59,"满足","不满足")</f>
      </c>
      <c r="E59" s="9" t="inlineStr">
        <is>
          <t>联动冲击造成的剩余持仓市值减少额÷冲击前净资产；现金不受冲击</t>
        </is>
      </c>
    </row>
    <row r="60"/>
    <row r="61" ht="24" customHeight="true">
      <c r="A61" s="31" t="inlineStr">
        <is>
          <t>四、方案B：按组合风险减仓（卖出光伏8,000股、电池批次1共6,000股、ETF 40,000份，保留全部公用事业）</t>
        </is>
      </c>
    </row>
    <row r="62">
      <c r="A62" s="4" t="inlineStr">
        <is>
          <t>品种</t>
        </is>
      </c>
      <c r="B62" s="4" t="inlineStr">
        <is>
          <t>拟卖数量</t>
        </is>
      </c>
      <c r="C62" s="4" t="inlineStr">
        <is>
          <t>卖出价(元)</t>
        </is>
      </c>
      <c r="D62" s="4" t="inlineStr">
        <is>
          <t>成交额(元)</t>
        </is>
      </c>
      <c r="E62" s="4" t="inlineStr">
        <is>
          <t>费率</t>
        </is>
      </c>
      <c r="F62" s="4" t="inlineStr">
        <is>
          <t>费用(元)</t>
        </is>
      </c>
      <c r="G62" s="4" t="inlineStr">
        <is>
          <t>净收入(元)</t>
        </is>
      </c>
      <c r="H62" s="4" t="inlineStr">
        <is>
          <t>备注</t>
        </is>
      </c>
      <c r="I62" s="6" t="n"/>
    </row>
    <row r="63">
      <c r="A63" s="11" t="inlineStr">
        <is>
          <t>EQ01 光伏设备</t>
        </is>
      </c>
      <c r="B63" s="8" t="n">
        <v>8000</v>
      </c>
      <c r="C63" s="12" t="n">
        <v>25</v>
      </c>
      <c r="D63" s="8">
        <f>B63*C63</f>
      </c>
      <c r="E63" s="14">
        <f>$B$6</f>
      </c>
      <c r="F63" s="8">
        <f>IF(D63=0,0,MAX(D63*E63,$B$8))</f>
      </c>
      <c r="G63" s="8">
        <f>D63-F63</f>
      </c>
      <c r="H63" s="9" t="inlineStr"/>
    </row>
    <row r="64">
      <c r="A64" s="11" t="inlineStr">
        <is>
          <t>EQ02 电池制造(批次1)</t>
        </is>
      </c>
      <c r="B64" s="8" t="n">
        <v>6000</v>
      </c>
      <c r="C64" s="12" t="n">
        <v>30</v>
      </c>
      <c r="D64" s="8">
        <f>B64*C64</f>
      </c>
      <c r="E64" s="14">
        <f>$B$6</f>
      </c>
      <c r="F64" s="8">
        <f>IF(D64=0,0,MAX(D64*E64,$B$8))</f>
      </c>
      <c r="G64" s="8">
        <f>D64-F64</f>
      </c>
      <c r="H64" s="9" t="inlineStr">
        <is>
          <t>仅批次1可卖；批次24000股今日不可卖</t>
        </is>
      </c>
    </row>
    <row r="65">
      <c r="A65" s="11" t="inlineStr">
        <is>
          <t>EQ03 公用事业</t>
        </is>
      </c>
      <c r="B65" s="8" t="n">
        <v>0</v>
      </c>
      <c r="C65" s="12" t="n">
        <v>10</v>
      </c>
      <c r="D65" s="8">
        <f>B65*C65</f>
      </c>
      <c r="E65" s="14">
        <f>$B$6</f>
      </c>
      <c r="F65" s="8">
        <f>IF(D65=0,0,MAX(D65*E65,$B$8))</f>
      </c>
      <c r="G65" s="8">
        <f>D65-F65</f>
      </c>
      <c r="H65" s="9" t="inlineStr"/>
    </row>
    <row r="66">
      <c r="A66" s="11" t="inlineStr">
        <is>
          <t>ETF01 A股宽基ETF</t>
        </is>
      </c>
      <c r="B66" s="8" t="n">
        <v>40000</v>
      </c>
      <c r="C66" s="12" t="n">
        <v>3</v>
      </c>
      <c r="D66" s="8">
        <f>B66*C66</f>
      </c>
      <c r="E66" s="14">
        <f>$B$7</f>
      </c>
      <c r="F66" s="8">
        <f>IF(D66=0,0,MAX(D66*E66,$B$8))</f>
      </c>
      <c r="G66" s="8">
        <f>D66-F66</f>
      </c>
      <c r="H66" s="9" t="inlineStr"/>
    </row>
    <row r="67">
      <c r="A67" s="26" t="inlineStr">
        <is>
          <t>卖出合计</t>
        </is>
      </c>
      <c r="B67" s="17">
        <f>SUM(B63:B66)</f>
      </c>
      <c r="C67" s="16" t="inlineStr"/>
      <c r="D67" s="17">
        <f>SUM(D63:D66)</f>
      </c>
      <c r="E67" s="16" t="inlineStr"/>
      <c r="F67" s="17">
        <f>SUM(F63:F66)</f>
      </c>
      <c r="G67" s="17">
        <f>SUM(G63:G66)</f>
      </c>
      <c r="H67" s="16" t="inlineStr"/>
    </row>
    <row r="68"/>
    <row r="69">
      <c r="A69" s="4" t="inlineStr">
        <is>
          <t>品种</t>
        </is>
      </c>
      <c r="B69" s="4" t="inlineStr">
        <is>
          <t>剩余数量</t>
        </is>
      </c>
      <c r="C69" s="4" t="inlineStr">
        <is>
          <t>14:30价(元)</t>
        </is>
      </c>
      <c r="D69" s="4" t="inlineStr">
        <is>
          <t>剩余市值(元)</t>
        </is>
      </c>
      <c r="E69" s="4" t="inlineStr">
        <is>
          <t>占净资产权重</t>
        </is>
      </c>
      <c r="F69" s="5" t="n"/>
      <c r="G69" s="5" t="n"/>
      <c r="H69" s="5" t="n"/>
      <c r="I69" s="6" t="n"/>
    </row>
    <row r="70">
      <c r="A70" s="11" t="inlineStr">
        <is>
          <t>EQ01 光伏设备</t>
        </is>
      </c>
      <c r="B70" s="8">
        <f>20000-B63</f>
      </c>
      <c r="C70" s="12" t="n">
        <v>25</v>
      </c>
      <c r="D70" s="8">
        <f>B70*C70</f>
      </c>
      <c r="E70" s="14">
        <f>D70/$D$75</f>
      </c>
      <c r="F70" s="5" t="n"/>
      <c r="G70" s="5" t="n"/>
      <c r="H70" s="5" t="n"/>
      <c r="I70" s="6" t="n"/>
    </row>
    <row r="71">
      <c r="A71" s="11" t="inlineStr">
        <is>
          <t>EQ02 电池制造(合计)</t>
        </is>
      </c>
      <c r="B71" s="8">
        <f>20000-B64</f>
      </c>
      <c r="C71" s="12" t="n">
        <v>30</v>
      </c>
      <c r="D71" s="8">
        <f>B71*C71</f>
      </c>
      <c r="E71" s="14">
        <f>D71/$D$75</f>
      </c>
      <c r="F71" s="5" t="n"/>
      <c r="G71" s="5" t="n"/>
      <c r="H71" s="5" t="n"/>
      <c r="I71" s="6" t="n"/>
    </row>
    <row r="72">
      <c r="A72" s="11" t="inlineStr">
        <is>
          <t>EQ03 公用事业</t>
        </is>
      </c>
      <c r="B72" s="8">
        <f>30000-B65</f>
      </c>
      <c r="C72" s="12" t="n">
        <v>10</v>
      </c>
      <c r="D72" s="8">
        <f>B72*C72</f>
      </c>
      <c r="E72" s="14">
        <f>D72/$D$75</f>
      </c>
      <c r="F72" s="5" t="n"/>
      <c r="G72" s="5" t="n"/>
      <c r="H72" s="5" t="n"/>
      <c r="I72" s="6" t="n"/>
    </row>
    <row r="73">
      <c r="A73" s="11" t="inlineStr">
        <is>
          <t>ETF01 A股宽基ETF</t>
        </is>
      </c>
      <c r="B73" s="8">
        <f>120000-B66</f>
      </c>
      <c r="C73" s="12" t="n">
        <v>3</v>
      </c>
      <c r="D73" s="8">
        <f>B73*C73</f>
      </c>
      <c r="E73" s="14">
        <f>D73/$D$75</f>
      </c>
      <c r="F73" s="5" t="n"/>
      <c r="G73" s="5" t="n"/>
      <c r="H73" s="5" t="n"/>
      <c r="I73" s="6" t="n"/>
    </row>
    <row r="74">
      <c r="A74" s="7" t="inlineStr">
        <is>
          <t>现金</t>
        </is>
      </c>
      <c r="B74" s="27" t="inlineStr"/>
      <c r="C74" s="27" t="inlineStr"/>
      <c r="D74" s="24">
        <f>230000+G67</f>
      </c>
      <c r="E74" s="14">
        <f>D74/$D$75</f>
      </c>
      <c r="F74" s="5" t="n"/>
      <c r="G74" s="5" t="n"/>
      <c r="H74" s="5" t="n"/>
      <c r="I74" s="6" t="n"/>
    </row>
    <row r="75">
      <c r="A75" s="28" t="inlineStr">
        <is>
          <t>净资产（扣费用后）</t>
        </is>
      </c>
      <c r="B75" s="16" t="inlineStr"/>
      <c r="C75" s="16" t="inlineStr"/>
      <c r="D75" s="17">
        <f>SUM(D70:D74)</f>
      </c>
      <c r="E75" s="18">
        <f>SUM(E70:E74)</f>
      </c>
      <c r="F75" s="5" t="n"/>
      <c r="G75" s="5" t="n"/>
      <c r="H75" s="5" t="n"/>
      <c r="I75" s="6" t="n"/>
    </row>
    <row r="76"/>
    <row r="77">
      <c r="A77" s="4" t="inlineStr">
        <is>
          <t>约束项</t>
        </is>
      </c>
      <c r="B77" s="4" t="inlineStr">
        <is>
          <t>阈值</t>
        </is>
      </c>
      <c r="C77" s="4" t="inlineStr">
        <is>
          <t>实际值</t>
        </is>
      </c>
      <c r="D77" s="4" t="inlineStr">
        <is>
          <t>是否满足</t>
        </is>
      </c>
      <c r="E77" s="4" t="inlineStr">
        <is>
          <t>说明</t>
        </is>
      </c>
      <c r="F77" s="5" t="n"/>
      <c r="G77" s="5" t="n"/>
      <c r="H77" s="5" t="n"/>
      <c r="I77" s="6" t="n"/>
    </row>
    <row r="78">
      <c r="A78" s="11" t="inlineStr">
        <is>
          <t>单只股票≤净资产25%</t>
        </is>
      </c>
      <c r="B78" s="14">
        <f>$B$12</f>
      </c>
      <c r="C78" s="14">
        <f>MAX(D70,D71,D72,D73)/$D$75</f>
      </c>
      <c r="D78" s="29">
        <f>IF(C78&lt;=B78,"满足","不满足")</f>
      </c>
      <c r="E78" s="9" t="inlineStr">
        <is>
          <t>取四只证券中市值最大者与净资产比较</t>
        </is>
      </c>
    </row>
    <row r="79">
      <c r="A79" s="11" t="inlineStr">
        <is>
          <t>新能源合计≤净资产45%</t>
        </is>
      </c>
      <c r="B79" s="14">
        <f>$B$13</f>
      </c>
      <c r="C79" s="14">
        <f>(D70+D71)/$D$75</f>
      </c>
      <c r="D79" s="29">
        <f>IF(C79&lt;=B79,"满足","不满足")</f>
      </c>
      <c r="E79" s="9" t="inlineStr">
        <is>
          <t>光伏+电池合计市值占净资产比例</t>
        </is>
      </c>
    </row>
    <row r="80">
      <c r="A80" s="11" t="inlineStr">
        <is>
          <t>现金≥300,000元</t>
        </is>
      </c>
      <c r="B80" s="8">
        <f>$B$14</f>
      </c>
      <c r="C80" s="8">
        <f>D74</f>
      </c>
      <c r="D80" s="29">
        <f>IF(C80&gt;=B80,"满足","不满足")</f>
      </c>
      <c r="E80" s="9" t="inlineStr">
        <is>
          <t>调整后现金余额（含卖出净收入）</t>
        </is>
      </c>
    </row>
    <row r="81">
      <c r="A81" s="11" t="inlineStr">
        <is>
          <t>联动情景损失≤净资产12%</t>
        </is>
      </c>
      <c r="B81" s="14">
        <f>$B$15</f>
      </c>
      <c r="C81" s="14">
        <f>(D70*$B$9+D71*$B$9+D72*$B$10+D73*$B$11)/$D$75</f>
      </c>
      <c r="D81" s="29">
        <f>IF(C81&lt;=B81,"满足","不满足")</f>
      </c>
      <c r="E81" s="9" t="inlineStr">
        <is>
          <t>联动冲击造成的剩余持仓市值减少额÷冲击前净资产；现金不受冲击</t>
        </is>
      </c>
    </row>
    <row r="82"/>
    <row r="83">
      <c r="A83" s="3" t="inlineStr">
        <is>
          <t>五、两方案对比小结</t>
        </is>
      </c>
    </row>
    <row r="84">
      <c r="A84" s="4" t="inlineStr">
        <is>
          <t>对比项</t>
        </is>
      </c>
      <c r="B84" s="4" t="inlineStr">
        <is>
          <t>未调整</t>
        </is>
      </c>
      <c r="C84" s="4" t="inlineStr">
        <is>
          <t>方案A(只卖盈利)</t>
        </is>
      </c>
      <c r="D84" s="4" t="inlineStr">
        <is>
          <t>方案B(按风险减仓)</t>
        </is>
      </c>
      <c r="E84" s="4" t="inlineStr">
        <is>
          <t>结论</t>
        </is>
      </c>
      <c r="F84" s="5" t="n"/>
      <c r="G84" s="5" t="n"/>
      <c r="H84" s="5" t="n"/>
      <c r="I84" s="6" t="n"/>
    </row>
    <row r="85">
      <c r="A85" s="7" t="inlineStr">
        <is>
          <t>净资产(元)</t>
        </is>
      </c>
      <c r="B85" s="8">
        <f>D31</f>
      </c>
      <c r="C85" s="8">
        <f>D53</f>
      </c>
      <c r="D85" s="24">
        <f>D75</f>
      </c>
      <c r="E85" s="9" t="inlineStr">
        <is>
          <t>方案A因卖出盈利品种实现收益但费用略高；方案B费用更低</t>
        </is>
      </c>
    </row>
    <row r="86">
      <c r="A86" s="7" t="inlineStr">
        <is>
          <t>现金(元)</t>
        </is>
      </c>
      <c r="B86" s="8">
        <f>D30</f>
      </c>
      <c r="C86" s="8">
        <f>D52</f>
      </c>
      <c r="D86" s="24">
        <f>D74</f>
      </c>
      <c r="E86" s="9" t="inlineStr">
        <is>
          <t>方案A现金最高但全部来自卖出低风险资产</t>
        </is>
      </c>
    </row>
    <row r="87">
      <c r="A87" s="7" t="inlineStr">
        <is>
          <t>新能源占比</t>
        </is>
      </c>
      <c r="B87" s="14">
        <f>(D26+D27)/D31</f>
      </c>
      <c r="C87" s="14">
        <f>(D48+D49)/D53</f>
      </c>
      <c r="D87" s="23">
        <f>(D70+D71)/D75</f>
      </c>
      <c r="E87" s="9" t="inlineStr">
        <is>
          <t>方案A卖完低风险资产后新能源占比反而升至55%以上</t>
        </is>
      </c>
    </row>
    <row r="88">
      <c r="A88" s="7" t="inlineStr">
        <is>
          <t>单股最高占比</t>
        </is>
      </c>
      <c r="B88" s="14">
        <f>MAX(D26,D27,D28,D29)/D31</f>
      </c>
      <c r="C88" s="14">
        <f>MAX(D48,D49,D50,D51)/D53</f>
      </c>
      <c r="D88" s="23">
        <f>MAX(D70,D71,D72,D73)/D75</f>
      </c>
      <c r="E88" s="9" t="inlineStr">
        <is>
          <t>方案A电池股占比超30%，方案B最高约21%</t>
        </is>
      </c>
    </row>
    <row r="89">
      <c r="A89" s="7" t="inlineStr">
        <is>
          <t>联动损失率</t>
        </is>
      </c>
      <c r="B89" s="14">
        <f>(D26*$B$9+D27*$B$9+D28*$B$10+D29*$B$11)/D31</f>
      </c>
      <c r="C89" s="14">
        <f>(D48*$B$9+D49*$B$9+D50*$B$10+D51*$B$11)/D53</f>
      </c>
      <c r="D89" s="23">
        <f>(D70*$B$9+D71*$B$9+D72*$B$10+D73*$B$11)/D75</f>
      </c>
      <c r="E89" s="9" t="inlineStr">
        <is>
          <t>方案A联动损失率约13.8%超限；方案B约11.7%满足</t>
        </is>
      </c>
    </row>
    <row r="90">
      <c r="A90" s="7" t="inlineStr">
        <is>
          <t>满足约束数量</t>
        </is>
      </c>
      <c r="B90" s="8">
        <f>COUNTIF(D34:D37,"满足")</f>
      </c>
      <c r="C90" s="8">
        <f>COUNTIF(D56:D59,"满足")</f>
      </c>
      <c r="D90" s="24">
        <f>COUNTIF(D78:D81,"满足")</f>
      </c>
      <c r="E90" s="9" t="inlineStr">
        <is>
          <t>方案B四项全部满足；方案A仅现金一项满足</t>
        </is>
      </c>
    </row>
    <row r="91" ht="40" customHeight="true">
      <c r="A91" s="32" t="inlineStr">
        <is>
          <t>结论：方案A（只卖盈利品种）仅满足现金约束，单股集中度、新能源占比和联动损失三项均超限，且越卖低风险资产、组合风险越高。方案B（按组合风险减仓）四项约束同时满足，同时保留电池股14,000股（含今日加仓4,000股）和全部公用事业。</t>
        </is>
      </c>
    </row>
    <row r="92"/>
    <row r="93">
      <c r="A93" s="3" t="inlineStr">
        <is>
          <t>六、若客户坚持保留全部电池股（EQ02卖出0股）的约束分析</t>
        </is>
      </c>
    </row>
    <row r="94">
      <c r="A94" s="4" t="inlineStr">
        <is>
          <t>分析项</t>
        </is>
      </c>
      <c r="B94" s="4" t="inlineStr">
        <is>
          <t>数值/公式</t>
        </is>
      </c>
      <c r="C94" s="4" t="inlineStr">
        <is>
          <t>说明</t>
        </is>
      </c>
      <c r="D94" s="5" t="n"/>
      <c r="E94" s="5" t="n"/>
      <c r="F94" s="5" t="n"/>
      <c r="G94" s="5" t="n"/>
      <c r="H94" s="5" t="n"/>
      <c r="I94" s="6" t="n"/>
    </row>
    <row r="95" ht="30" customHeight="true">
      <c r="A95" s="7" t="inlineStr">
        <is>
          <t>电池股保留数量</t>
        </is>
      </c>
      <c r="B95" s="11" t="inlineStr">
        <is>
          <t>20,000股（批次1 16,000 + 批次2 4,000）</t>
        </is>
      </c>
      <c r="C95" s="9" t="inlineStr">
        <is>
          <t>客户要求全部保留，今日可卖量16,000股不动</t>
        </is>
      </c>
    </row>
    <row r="96" ht="30" customHeight="true">
      <c r="A96" s="7" t="inlineStr">
        <is>
          <t>电池股14:30市值</t>
        </is>
      </c>
      <c r="B96" s="14">
        <f>20000*30</f>
      </c>
      <c r="C96" s="9" t="inlineStr">
        <is>
          <t>600,000元，占未调整总资产30.15%</t>
        </is>
      </c>
    </row>
    <row r="97" ht="30" customHeight="true">
      <c r="A97" s="7" t="inlineStr">
        <is>
          <t>若卖出全部光伏后净资产</t>
        </is>
      </c>
      <c r="B97" s="8">
        <f>230000+(20000*25-MAX(20000*25*$B$6,$B$8))+600000+300000+360000</f>
      </c>
      <c r="C97" s="9" t="inlineStr">
        <is>
          <t>卖出EQ01全部20,000股，保留EQ02全部、EQ03全部、ETF全部后的净资产（扣EQ01卖出费用）</t>
        </is>
      </c>
    </row>
    <row r="98" ht="30" customHeight="true">
      <c r="A98" s="7" t="inlineStr">
        <is>
          <t>此时电池股占净资产</t>
        </is>
      </c>
      <c r="B98" s="8">
        <f>600000/(230000+(20000*25-MAX(20000*25*$B$6,$B$8))+600000+300000+360000)</f>
      </c>
      <c r="C98" s="9" t="inlineStr">
        <is>
          <t>即使卖完全部光伏，电池股仍占约30.2%，超过25%单股上限</t>
        </is>
      </c>
    </row>
    <row r="99" ht="30" customHeight="true">
      <c r="A99" s="7" t="inlineStr">
        <is>
          <t>单股25%约束所需最低净资产</t>
        </is>
      </c>
      <c r="B99" s="8">
        <f>600000/0.25</f>
      </c>
      <c r="C99" s="9" t="inlineStr">
        <is>
          <t>2,400,000元。当前总资产约1,990,000元，卖出只能减少净资产，无法达到2,400,000元</t>
        </is>
      </c>
    </row>
    <row r="100" ht="30" customHeight="true">
      <c r="A100" s="7" t="inlineStr">
        <is>
          <t>卡住的约束</t>
        </is>
      </c>
      <c r="B100" s="11" t="inlineStr">
        <is>
          <t>单只股票≤25%（必然卡住）</t>
        </is>
      </c>
      <c r="C100" s="9" t="inlineStr">
        <is>
          <t>在不增加资金、不加杠杆前提下，保留全部电池股则单股25%约束数学上不可满足。卖出其他品种只会进一步提高电池股占比。</t>
        </is>
      </c>
    </row>
    <row r="101" ht="30" customHeight="true">
      <c r="A101" s="7" t="inlineStr">
        <is>
          <t>至少需要放松的条件</t>
        </is>
      </c>
      <c r="B101" s="11" t="inlineStr">
        <is>
          <t>选项1：将EQ02单股上限从25%放宽至≥30.2%；选项2：同意卖出至少3,400股电池批次1（保留16,600股，占比可降至25%以内）；选项3：注入外部资金≥410,000元（但违反"不增加资金"约束）</t>
        </is>
      </c>
      <c r="C101" s="9" t="inlineStr">
        <is>
          <t>三个选项中仅选项2符合现有全部约束框架。注意：批次2今日不可卖，只能从批次1的16,000股中卖出。</t>
        </is>
      </c>
    </row>
    <row r="102" ht="30" customHeight="true">
      <c r="A102" s="7" t="inlineStr">
        <is>
          <t>其他约束在保留电池股时的状态</t>
        </is>
      </c>
      <c r="B102" s="11" t="inlineStr">
        <is>
          <t>若同时卖完全部光伏：新能源占比≈30%（满足）、现金≈72万（满足）、联动损失≈10.9%（满足）</t>
        </is>
      </c>
      <c r="C102" s="9" t="inlineStr">
        <is>
          <t>即除单股25%外其余三项可通过卖出光伏来满足，但单股约束是硬卡点</t>
        </is>
      </c>
    </row>
    <row r="103" ht="40" customHeight="true">
      <c r="A103" s="22" t="inlineStr">
        <is>
          <t>重要提示：不得替客户默许提高风险预算。若客户坚持保留全部电池股，须明确告知单股25%约束将被突破，并由客户书面确认接受该超限风险后方可执行；否则必须按方案B减仓至少部分电池股。</t>
        </is>
      </c>
    </row>
    <row r="104"/>
    <row r="105">
      <c r="A105" s="3" t="inlineStr">
        <is>
          <t>七、今日（9月8日）执行条件计划（所有动作均为条件式，成交前须复核实时盘口）</t>
        </is>
      </c>
    </row>
    <row r="106">
      <c r="A106" s="4" t="inlineStr">
        <is>
          <t>序号</t>
        </is>
      </c>
      <c r="B106" s="4" t="inlineStr">
        <is>
          <t>情景</t>
        </is>
      </c>
      <c r="C106" s="4" t="inlineStr">
        <is>
          <t>触发条件</t>
        </is>
      </c>
      <c r="D106" s="4" t="inlineStr">
        <is>
          <t>执行动作</t>
        </is>
      </c>
      <c r="E106" s="4" t="inlineStr">
        <is>
          <t>注意事项</t>
        </is>
      </c>
      <c r="F106" s="5" t="n"/>
      <c r="G106" s="5" t="n"/>
      <c r="H106" s="5" t="n"/>
      <c r="I106" s="6" t="n"/>
    </row>
    <row r="107" ht="55" customHeight="true">
      <c r="A107" s="29" t="inlineStr">
        <is>
          <t>1</t>
        </is>
      </c>
      <c r="B107" s="7" t="inlineStr">
        <is>
          <t>正常成交</t>
        </is>
      </c>
      <c r="C107" s="11" t="inlineStr">
        <is>
          <t>报价在14:30买一价附近波动、可卖数量与测算一致、未触及涨跌停板</t>
        </is>
      </c>
      <c r="D107" s="11" t="inlineStr">
        <is>
          <t>按方案B挂单卖出：①EQ01光伏8,000股；②EQ02电池批次1 6,000股（仅批次1，批次2今日不可卖）；③ETF01宽基40,000份。每品种合并为一笔委托。</t>
        </is>
      </c>
      <c r="E107" s="9" t="inlineStr">
        <is>
          <t>卖出顺序按风险贡献：EQ02电池＞EQ01光伏＞ETF01。公用事业不卖出。成交后立即核对实际成交数量与价格，重新测算约束。</t>
        </is>
      </c>
    </row>
    <row r="108" ht="55" customHeight="true">
      <c r="A108" s="29" t="inlineStr">
        <is>
          <t>2</t>
        </is>
      </c>
      <c r="B108" s="7" t="inlineStr">
        <is>
          <t>部分成交</t>
        </is>
      </c>
      <c r="C108" s="11" t="inlineStr">
        <is>
          <t>委托后部分成交、部分未成交（如盘口深度不足或价格偏离）</t>
        </is>
      </c>
      <c r="D108" s="11" t="inlineStr">
        <is>
          <t>①按实际成交数量和成交价格重新计算现金和持仓；②未成交部分在收盘前调整限价重新挂单；③若重新测算后约束不满足，追加卖出其他可卖品种中风险贡献最大者。</t>
        </is>
      </c>
      <c r="E108" s="9" t="inlineStr">
        <is>
          <t>部分成交后费用按实际成交额计算。若距收盘不足30分钟仍未成交，考虑撤单避免尾盘波动，次日优先处理。</t>
        </is>
      </c>
    </row>
    <row r="109" ht="55" customHeight="true">
      <c r="A109" s="29" t="inlineStr">
        <is>
          <t>3</t>
        </is>
      </c>
      <c r="B109" s="7" t="inlineStr">
        <is>
          <t>全部未成交</t>
        </is>
      </c>
      <c r="C109" s="11" t="inlineStr">
        <is>
          <t>委托后零成交，或收盘前30分钟仍无成交</t>
        </is>
      </c>
      <c r="D109" s="11" t="inlineStr">
        <is>
          <t>①收盘前撤单，当日不强行追价成交；②记录未成交原因（价格偏离/盘口不足/停牌等）；③下一交易日（9月9日）开盘前重新核对可卖数量和价格，优先执行减仓。</t>
        </is>
      </c>
      <c r="E109" s="9" t="inlineStr">
        <is>
          <t>未调整状态下四项约束全部超限。若当日未能调整，须在收盘沟通中明确告知客户约束仍超限及次日处理计划。</t>
        </is>
      </c>
    </row>
    <row r="110" ht="55" customHeight="true">
      <c r="A110" s="29" t="inlineStr">
        <is>
          <t>4</t>
        </is>
      </c>
      <c r="B110" s="7" t="inlineStr">
        <is>
          <t>拟卖品种跌停</t>
        </is>
      </c>
      <c r="C110" s="11" t="inlineStr">
        <is>
          <t>EQ01或EQ02或ETF01触及跌停板，无法以正常价格卖出</t>
        </is>
      </c>
      <c r="D110" s="11" t="inlineStr">
        <is>
          <t>①优先卖出其他未跌停、可卖品种中对联动损失贡献最大者（风险贡献排序：EQ02电池＞EQ01光伏＞ETF01＞EQ03公用事业）；②以实际可卖品种重新测算约束满足度；③若全部拟卖品种均跌停，当日不操作，下一交易日重新评估。</t>
        </is>
      </c>
      <c r="E110" s="9" t="inlineStr">
        <is>
          <t>跌停时不得高价追卖。若仅EQ02跌停而EQ01和ETF可卖，可先卖EQ01和ETF，但需注意此时电池股占比可能进一步上升，须次日EQ02可卖后优先补减。</t>
        </is>
      </c>
    </row>
    <row r="111" ht="55" customHeight="true">
      <c r="A111" s="29" t="inlineStr">
        <is>
          <t>5</t>
        </is>
      </c>
      <c r="B111" s="7" t="inlineStr">
        <is>
          <t>成交前待核事项</t>
        </is>
      </c>
      <c r="C111" s="11" t="inlineStr">
        <is>
          <t>每次挂单委托前必须核对</t>
        </is>
      </c>
      <c r="D111" s="11" t="inlineStr">
        <is>
          <t>核对四项：①拟卖品种是否停牌或触及涨跌停；②实际可卖数量（特别注意EQ02批次2的4,000股今日不可卖，下一交易日才可卖）；③买一价与14:30测算价的偏差；④盘口深度是否足以承接拟卖数量。</t>
        </is>
      </c>
      <c r="E111" s="9" t="inlineStr">
        <is>
          <t>14:30买一价仅为测算基准，实际成交价以委托成交为准，不保证按测算价成交。费用按实际成交额计算。</t>
        </is>
      </c>
    </row>
    <row r="112"/>
    <row r="113">
      <c r="A113" s="3" t="inlineStr">
        <is>
          <t>八、下一交易日（9月9日）情景测算（以方案B调整后剩余持仓为起点）</t>
        </is>
      </c>
    </row>
    <row r="114" ht="40" customHeight="true">
      <c r="A114" s="33" t="inlineStr">
        <is>
          <t>测算规则：次日情景以今天方案B调整后的剩余持仓和现金为起点。先计入新能源下跌5%，以此时（尚未追加交易、尚未施加联动冲击）的持仓市值加现金作为新分母；再按附件相同联动冲击率计算增量损失。今天已扣费用不再扣；5%下跌不重复计入联动冲击损失。</t>
        </is>
      </c>
    </row>
    <row r="115"/>
    <row r="116">
      <c r="A116" s="34" t="inlineStr">
        <is>
          <t>情景1：次日价格不变（与今日14:30相同）</t>
        </is>
      </c>
      <c r="B116" s="35" t="inlineStr">
        <is>
          <t>约束状态与今日方案B调整后完全一致，四项约束均满足。无需追加交易。</t>
        </is>
      </c>
    </row>
    <row r="117"/>
    <row r="118">
      <c r="A118" s="3" t="inlineStr">
        <is>
          <t>情景2：次日新能源（光伏+电池）下跌5%，公用事业和ETF价格不变</t>
        </is>
      </c>
    </row>
    <row r="119">
      <c r="A119" s="20" t="inlineStr">
        <is>
          <t>第一步：计入新能源5%下跌，计算新分母（下跌后、联动冲击前的净资产）</t>
        </is>
      </c>
    </row>
    <row r="120">
      <c r="A120" s="4" t="inlineStr">
        <is>
          <t>品种</t>
        </is>
      </c>
      <c r="B120" s="4" t="inlineStr">
        <is>
          <t>剩余数量</t>
        </is>
      </c>
      <c r="C120" s="4" t="inlineStr">
        <is>
          <t>今日14:30价</t>
        </is>
      </c>
      <c r="D120" s="4" t="inlineStr">
        <is>
          <t>次日跌5%后价</t>
        </is>
      </c>
      <c r="E120" s="4" t="inlineStr">
        <is>
          <t>下跌后市值(元)</t>
        </is>
      </c>
      <c r="F120" s="4" t="inlineStr">
        <is>
          <t>占新分母权重</t>
        </is>
      </c>
      <c r="G120" s="5" t="n"/>
      <c r="H120" s="5" t="n"/>
      <c r="I120" s="6" t="n"/>
    </row>
    <row r="121">
      <c r="A121" s="11" t="inlineStr">
        <is>
          <t>EQ01 光伏设备</t>
        </is>
      </c>
      <c r="B121" s="8">
        <f>B70</f>
      </c>
      <c r="C121" s="12" t="n">
        <v>25</v>
      </c>
      <c r="D121" s="12">
        <f>C121*0.95</f>
      </c>
      <c r="E121" s="8">
        <f>B121*D121</f>
      </c>
      <c r="F121" s="14">
        <f>E121/$E$126</f>
      </c>
      <c r="G121" s="5" t="n"/>
      <c r="H121" s="5" t="n"/>
      <c r="I121" s="6" t="n"/>
    </row>
    <row r="122">
      <c r="A122" s="11" t="inlineStr">
        <is>
          <t>EQ02 电池制造</t>
        </is>
      </c>
      <c r="B122" s="8">
        <f>B71</f>
      </c>
      <c r="C122" s="12" t="n">
        <v>30</v>
      </c>
      <c r="D122" s="12">
        <f>C122*0.95</f>
      </c>
      <c r="E122" s="8">
        <f>B122*D122</f>
      </c>
      <c r="F122" s="14">
        <f>E122/$E$126</f>
      </c>
      <c r="G122" s="5" t="n"/>
      <c r="H122" s="5" t="n"/>
      <c r="I122" s="6" t="n"/>
    </row>
    <row r="123">
      <c r="A123" s="11" t="inlineStr">
        <is>
          <t>EQ03 公用事业</t>
        </is>
      </c>
      <c r="B123" s="8">
        <f>B72</f>
      </c>
      <c r="C123" s="12" t="n">
        <v>10</v>
      </c>
      <c r="D123" s="12" t="n">
        <v>10</v>
      </c>
      <c r="E123" s="8">
        <f>B123*D123</f>
      </c>
      <c r="F123" s="14">
        <f>E123/$E$126</f>
      </c>
      <c r="G123" s="5" t="n"/>
      <c r="H123" s="5" t="n"/>
      <c r="I123" s="6" t="n"/>
    </row>
    <row r="124">
      <c r="A124" s="11" t="inlineStr">
        <is>
          <t>ETF01 A股宽基ETF</t>
        </is>
      </c>
      <c r="B124" s="8">
        <f>B73</f>
      </c>
      <c r="C124" s="12" t="n">
        <v>3</v>
      </c>
      <c r="D124" s="12" t="n">
        <v>3</v>
      </c>
      <c r="E124" s="8">
        <f>B124*D124</f>
      </c>
      <c r="F124" s="14">
        <f>E124/$E$126</f>
      </c>
      <c r="G124" s="5" t="n"/>
      <c r="H124" s="5" t="n"/>
      <c r="I124" s="6" t="n"/>
    </row>
    <row r="125">
      <c r="A125" s="7" t="inlineStr">
        <is>
          <t>现金（今日已扣费用，不再扣）</t>
        </is>
      </c>
      <c r="B125" s="27" t="inlineStr"/>
      <c r="C125" s="27" t="inlineStr"/>
      <c r="D125" s="27" t="inlineStr"/>
      <c r="E125" s="24">
        <f>D74</f>
      </c>
      <c r="F125" s="14">
        <f>E125/$E$126</f>
      </c>
      <c r="G125" s="5" t="n"/>
      <c r="H125" s="5" t="n"/>
      <c r="I125" s="6" t="n"/>
    </row>
    <row r="126">
      <c r="A126" s="28" t="inlineStr">
        <is>
          <t>新分母（下跌后净资产=持仓市值+现金）</t>
        </is>
      </c>
      <c r="B126" s="16" t="inlineStr"/>
      <c r="C126" s="16" t="inlineStr"/>
      <c r="D126" s="16" t="inlineStr"/>
      <c r="E126" s="17">
        <f>SUM(E121:E125)</f>
      </c>
      <c r="F126" s="18">
        <f>SUM(F121:F125)</f>
      </c>
      <c r="G126" s="5" t="n"/>
      <c r="H126" s="5" t="n"/>
      <c r="I126" s="6" t="n"/>
    </row>
    <row r="127"/>
    <row r="128">
      <c r="A128" s="20" t="inlineStr">
        <is>
          <t>第二步：以新分母为基数，按附件联动冲击率计算增量损失（5%下跌不重复计入）</t>
        </is>
      </c>
    </row>
    <row r="129">
      <c r="A129" s="4" t="inlineStr">
        <is>
          <t>品种</t>
        </is>
      </c>
      <c r="B129" s="4" t="inlineStr">
        <is>
          <t>下跌后市值(元)</t>
        </is>
      </c>
      <c r="C129" s="4" t="inlineStr">
        <is>
          <t>联动冲击率</t>
        </is>
      </c>
      <c r="D129" s="4" t="inlineStr">
        <is>
          <t>增量损失(元)</t>
        </is>
      </c>
      <c r="E129" s="4" t="inlineStr">
        <is>
          <t>说明</t>
        </is>
      </c>
      <c r="F129" s="5" t="n"/>
      <c r="G129" s="5" t="n"/>
      <c r="H129" s="5" t="n"/>
      <c r="I129" s="6" t="n"/>
    </row>
    <row r="130">
      <c r="A130" s="11" t="inlineStr">
        <is>
          <t>EQ01 光伏设备</t>
        </is>
      </c>
      <c r="B130" s="8">
        <f>E121</f>
      </c>
      <c r="C130" s="14">
        <f>$B$9</f>
      </c>
      <c r="D130" s="8">
        <f>B130*C130</f>
      </c>
      <c r="E130" s="9" t="inlineStr">
        <is>
          <t>光伏联动下跌25%</t>
        </is>
      </c>
    </row>
    <row r="131">
      <c r="A131" s="11" t="inlineStr">
        <is>
          <t>EQ02 电池制造</t>
        </is>
      </c>
      <c r="B131" s="8">
        <f>E122</f>
      </c>
      <c r="C131" s="14">
        <f>$B$9</f>
      </c>
      <c r="D131" s="8">
        <f>B131*C131</f>
      </c>
      <c r="E131" s="9" t="inlineStr">
        <is>
          <t>电池联动下跌25%</t>
        </is>
      </c>
    </row>
    <row r="132">
      <c r="A132" s="11" t="inlineStr">
        <is>
          <t>EQ03 公用事业</t>
        </is>
      </c>
      <c r="B132" s="8">
        <f>E123</f>
      </c>
      <c r="C132" s="14">
        <f>$B$10</f>
      </c>
      <c r="D132" s="8">
        <f>B132*C132</f>
      </c>
      <c r="E132" s="9" t="inlineStr">
        <is>
          <t>公用事业联动下跌8%</t>
        </is>
      </c>
    </row>
    <row r="133">
      <c r="A133" s="11" t="inlineStr">
        <is>
          <t>ETF01 宽基ETF</t>
        </is>
      </c>
      <c r="B133" s="8">
        <f>E124</f>
      </c>
      <c r="C133" s="14">
        <f>$B$11</f>
      </c>
      <c r="D133" s="8">
        <f>B133*C133</f>
      </c>
      <c r="E133" s="9" t="inlineStr">
        <is>
          <t>ETF联动下跌12%</t>
        </is>
      </c>
    </row>
    <row r="134">
      <c r="A134" s="28" t="inlineStr">
        <is>
          <t>增量损失合计</t>
        </is>
      </c>
      <c r="B134" s="16" t="inlineStr"/>
      <c r="C134" s="16" t="inlineStr"/>
      <c r="D134" s="17">
        <f>SUM(D130:D133)</f>
      </c>
      <c r="E134" s="36" t="inlineStr">
        <is>
          <t>现金不受联动冲击，损失为0</t>
        </is>
      </c>
    </row>
    <row r="135">
      <c r="A135" s="7" t="inlineStr">
        <is>
          <t>增量损失率（增量损失÷新分母）</t>
        </is>
      </c>
      <c r="B135" s="27" t="inlineStr"/>
      <c r="C135" s="27" t="inlineStr"/>
      <c r="D135" s="23">
        <f>D134/E126</f>
      </c>
      <c r="E135" s="29">
        <f>IF(D135&lt;=$B$15,"满足≤12%约束","不满足，需追加减仓")</f>
      </c>
      <c r="F135" s="5" t="n"/>
      <c r="G135" s="5" t="n"/>
      <c r="H135" s="5" t="n"/>
      <c r="I135" s="6" t="n"/>
    </row>
    <row r="136"/>
    <row r="137">
      <c r="A137" s="20" t="inlineStr">
        <is>
          <t>第三步：次日新能源下跌5%后的四项约束检查（下跌后、联动冲击前）</t>
        </is>
      </c>
    </row>
    <row r="138">
      <c r="A138" s="4" t="inlineStr">
        <is>
          <t>约束项</t>
        </is>
      </c>
      <c r="B138" s="4" t="inlineStr">
        <is>
          <t>阈值</t>
        </is>
      </c>
      <c r="C138" s="4" t="inlineStr">
        <is>
          <t>实际值</t>
        </is>
      </c>
      <c r="D138" s="4" t="inlineStr">
        <is>
          <t>是否满足</t>
        </is>
      </c>
      <c r="E138" s="4" t="inlineStr">
        <is>
          <t>说明</t>
        </is>
      </c>
      <c r="F138" s="5" t="n"/>
      <c r="G138" s="5" t="n"/>
      <c r="H138" s="5" t="n"/>
      <c r="I138" s="6" t="n"/>
    </row>
    <row r="139">
      <c r="A139" s="11" t="inlineStr">
        <is>
          <t>单只股票≤净资产25%</t>
        </is>
      </c>
      <c r="B139" s="14">
        <f>$B$12</f>
      </c>
      <c r="C139" s="14">
        <f>MAX(E121,E122,E123,E124)/E126</f>
      </c>
      <c r="D139" s="29">
        <f>IF(C139&lt;=B139,"满足","不满足")</f>
      </c>
      <c r="E139" s="9" t="inlineStr">
        <is>
          <t>下跌后EQ02电池占比最高，约20.4%</t>
        </is>
      </c>
    </row>
    <row r="140">
      <c r="A140" s="11" t="inlineStr">
        <is>
          <t>新能源合计≤净资产45%</t>
        </is>
      </c>
      <c r="B140" s="14">
        <f>$B$13</f>
      </c>
      <c r="C140" s="14">
        <f>(E121+E122)/E126</f>
      </c>
      <c r="D140" s="29">
        <f>IF(C140&lt;=B140,"满足","不满足")</f>
      </c>
      <c r="E140" s="9" t="inlineStr">
        <is>
          <t>下跌后光伏+电池合计约35.0%</t>
        </is>
      </c>
    </row>
    <row r="141">
      <c r="A141" s="11" t="inlineStr">
        <is>
          <t>现金≥300,000元</t>
        </is>
      </c>
      <c r="B141" s="8">
        <f>$B$14</f>
      </c>
      <c r="C141" s="8">
        <f>E125</f>
      </c>
      <c r="D141" s="29">
        <f>IF(C141&gt;=B141,"满足","不满足")</f>
      </c>
      <c r="E141" s="9" t="inlineStr">
        <is>
          <t>现金约73万元，今日费用已扣</t>
        </is>
      </c>
    </row>
    <row r="142">
      <c r="A142" s="11" t="inlineStr">
        <is>
          <t>联动情景增量损失≤12%</t>
        </is>
      </c>
      <c r="B142" s="14">
        <f>$B$15</f>
      </c>
      <c r="C142" s="14">
        <f>D134/E126</f>
      </c>
      <c r="D142" s="29">
        <f>IF(C142&lt;=B142,"满足","不满足")</f>
      </c>
      <c r="E142" s="9" t="inlineStr">
        <is>
          <t>增量损失率约11.5%，以新分母计算</t>
        </is>
      </c>
    </row>
    <row r="143" ht="35" customHeight="true">
      <c r="A143" s="32" t="inlineStr">
        <is>
          <t>小结：次日新能源下跌5%后，方案B调整后的组合四项约束仍全部满足（联动增量损失率约11.5%，留有约0.5个百分点余量）。若下跌幅度超过5%，或客户追加交易，须重新测算。</t>
        </is>
      </c>
    </row>
    <row r="144"/>
    <row r="145">
      <c r="A145" s="3" t="inlineStr">
        <is>
          <t>情景3：次日如需追加交易的复核规则</t>
        </is>
      </c>
    </row>
    <row r="146" ht="80" customHeight="true">
      <c r="A146" s="19" t="inlineStr">
        <is>
          <t>若次日在5%下跌后仍需追加减仓（例如联动损失率逼近12%、或客户要求进一步降低敞口），复核顺序如下：①先按附件费用标准（股票0.08%、ETF0.03%、每笔最低5元）扣除新增交易费用；②以追加交易后、联动冲击前的净资产作为分母（=追加交易后持仓市值+扣完新增费用后的现金）；③再按相同联动冲击率计算增量损失率；④今天已扣除的费用不再重复扣除；今天的5%下跌已反映在持仓市值中，不重复计入联动损失。⑤次日EQ02批次2的4,000股变为可卖，如需减仓可从该批次卖出。</t>
        </is>
      </c>
    </row>
    <row r="147"/>
    <row r="148">
      <c r="A148" s="3" t="inlineStr">
        <is>
          <t>九、下一交易日（9月9日）条件计划</t>
        </is>
      </c>
    </row>
    <row r="149">
      <c r="A149" s="4" t="inlineStr">
        <is>
          <t>序号</t>
        </is>
      </c>
      <c r="B149" s="4" t="inlineStr">
        <is>
          <t>情景</t>
        </is>
      </c>
      <c r="C149" s="4" t="inlineStr">
        <is>
          <t>触发条件</t>
        </is>
      </c>
      <c r="D149" s="4" t="inlineStr">
        <is>
          <t>执行动作</t>
        </is>
      </c>
      <c r="E149" s="4" t="inlineStr">
        <is>
          <t>注意事项</t>
        </is>
      </c>
      <c r="F149" s="5" t="n"/>
      <c r="G149" s="5" t="n"/>
      <c r="H149" s="5" t="n"/>
      <c r="I149" s="6" t="n"/>
    </row>
    <row r="150" ht="55" customHeight="true">
      <c r="A150" s="29" t="inlineStr">
        <is>
          <t>1</t>
        </is>
      </c>
      <c r="B150" s="7" t="inlineStr">
        <is>
          <t>价格平稳/上涨</t>
        </is>
      </c>
      <c r="C150" s="11" t="inlineStr">
        <is>
          <t>次日开盘后新能源价格不低于今日14:30价，或小幅波动</t>
        </is>
      </c>
      <c r="D150" s="11" t="inlineStr">
        <is>
          <t>若今日方案B已全部成交，无需追加交易，持有观察。若今日部分成交，按未成交数量继续挂单。</t>
        </is>
      </c>
      <c r="E150" s="9" t="inlineStr">
        <is>
          <t>开盘前核对EQ02批次2的4,000股已变为可卖状态。</t>
        </is>
      </c>
    </row>
    <row r="151" ht="55" customHeight="true">
      <c r="A151" s="29" t="inlineStr">
        <is>
          <t>2</t>
        </is>
      </c>
      <c r="B151" s="7" t="inlineStr">
        <is>
          <t>新能源下跌5%以内</t>
        </is>
      </c>
      <c r="C151" s="11" t="inlineStr">
        <is>
          <t>次日光伏或电池下跌幅度≤5%，其他品种正常</t>
        </is>
      </c>
      <c r="D151" s="11" t="inlineStr">
        <is>
          <t>按情景2测算，四项约束仍满足，无需强制追加交易。持续监控联动损失率，若逼近12%则准备减仓。</t>
        </is>
      </c>
      <c r="E151" s="9" t="inlineStr">
        <is>
          <t>下跌5%后联动增量损失率约11.5%，余量较窄，需密切关注。</t>
        </is>
      </c>
    </row>
    <row r="152" ht="55" customHeight="true">
      <c r="A152" s="29" t="inlineStr">
        <is>
          <t>3</t>
        </is>
      </c>
      <c r="B152" s="7" t="inlineStr">
        <is>
          <t>新能源下跌超过5%</t>
        </is>
      </c>
      <c r="C152" s="11" t="inlineStr">
        <is>
          <t>次日光伏或电池下跌幅度＞5%，导致联动损失率可能突破12%</t>
        </is>
      </c>
      <c r="D152" s="11" t="inlineStr">
        <is>
          <t>①立即以实际价格重新测算约束；②若联动损失率＞12%或单股占比＞25%，优先减仓EQ02电池（此时批次2已可卖）和EQ01光伏；③减仓数量以重新满足四项约束为准。</t>
        </is>
      </c>
      <c r="E152" s="9" t="inlineStr">
        <is>
          <t>下跌超过5%后新分母进一步缩小，同样的持仓市值占比会上升，须及时减仓而非等待反弹。</t>
        </is>
      </c>
    </row>
    <row r="153" ht="55" customHeight="true">
      <c r="A153" s="29" t="inlineStr">
        <is>
          <t>4</t>
        </is>
      </c>
      <c r="B153" s="7" t="inlineStr">
        <is>
          <t>次日跌停</t>
        </is>
      </c>
      <c r="C153" s="11" t="inlineStr">
        <is>
          <t>次日新能源品种触及跌停无法卖出</t>
        </is>
      </c>
      <c r="D153" s="11" t="inlineStr">
        <is>
          <t>①若仅部分品种跌停，优先卖出未跌停的高风险品种；②若全部拟卖品种跌停，当日不操作，记录风险敞口，第三日继续处理；③跌停期间不得高价追卖。</t>
        </is>
      </c>
      <c r="E153" s="9" t="inlineStr">
        <is>
          <t>连续跌停时组合风险敞口持续超限，须在客户沟通中明确提示流动性风险。</t>
        </is>
      </c>
    </row>
  </sheetData>
  <mergeCells count="122">
    <mergeCell ref="E130:I130"/>
    <mergeCell ref="E55:I55"/>
    <mergeCell ref="E52:I52"/>
    <mergeCell ref="E132:I132"/>
    <mergeCell ref="E48:I48"/>
    <mergeCell ref="F123:I123"/>
    <mergeCell ref="A2:I2"/>
    <mergeCell ref="E29:I29"/>
    <mergeCell ref="A17:I17"/>
    <mergeCell ref="E31:I31"/>
    <mergeCell ref="C5:I5"/>
    <mergeCell ref="C14:I14"/>
    <mergeCell ref="C97:I97"/>
    <mergeCell ref="E108:I108"/>
    <mergeCell ref="H45:I45"/>
    <mergeCell ref="E89:I89"/>
    <mergeCell ref="A39:I39"/>
    <mergeCell ref="E26:I26"/>
    <mergeCell ref="H65:I65"/>
    <mergeCell ref="A103:I103"/>
    <mergeCell ref="H62:I62"/>
    <mergeCell ref="E81:I81"/>
    <mergeCell ref="F122:I122"/>
    <mergeCell ref="E25:I25"/>
    <mergeCell ref="C95:I95"/>
    <mergeCell ref="H23:I23"/>
    <mergeCell ref="A61:I61"/>
    <mergeCell ref="F121:I121"/>
    <mergeCell ref="E58:I58"/>
    <mergeCell ref="E50:I50"/>
    <mergeCell ref="E106:I106"/>
    <mergeCell ref="C8:I8"/>
    <mergeCell ref="H63:I63"/>
    <mergeCell ref="E151:I151"/>
    <mergeCell ref="H41:I41"/>
    <mergeCell ref="F120:I120"/>
    <mergeCell ref="E141:I141"/>
    <mergeCell ref="E135:I135"/>
    <mergeCell ref="E150:I150"/>
    <mergeCell ref="C102:I102"/>
    <mergeCell ref="E107:I107"/>
    <mergeCell ref="E28:I28"/>
    <mergeCell ref="E152:I152"/>
    <mergeCell ref="A91:I91"/>
    <mergeCell ref="E69:I69"/>
    <mergeCell ref="E84:I84"/>
    <mergeCell ref="E78:I78"/>
    <mergeCell ref="E149:I149"/>
    <mergeCell ref="E30:I30"/>
    <mergeCell ref="E59:I59"/>
    <mergeCell ref="E77:I77"/>
    <mergeCell ref="E133:I133"/>
    <mergeCell ref="E86:I86"/>
    <mergeCell ref="E80:I80"/>
    <mergeCell ref="H19:I19"/>
    <mergeCell ref="C100:I100"/>
    <mergeCell ref="C94:I94"/>
    <mergeCell ref="A143:I143"/>
    <mergeCell ref="E70:I70"/>
    <mergeCell ref="E57:I57"/>
    <mergeCell ref="F126:I126"/>
    <mergeCell ref="E72:I72"/>
    <mergeCell ref="A1:I1"/>
    <mergeCell ref="C12:I12"/>
    <mergeCell ref="E134:I134"/>
    <mergeCell ref="E109:I109"/>
    <mergeCell ref="E47:I47"/>
    <mergeCell ref="F125:I125"/>
    <mergeCell ref="E56:I56"/>
    <mergeCell ref="E139:I139"/>
    <mergeCell ref="E129:I129"/>
    <mergeCell ref="E111:I111"/>
    <mergeCell ref="H43:I43"/>
    <mergeCell ref="E33:I33"/>
    <mergeCell ref="C7:I7"/>
    <mergeCell ref="H40:I40"/>
    <mergeCell ref="E131:I131"/>
    <mergeCell ref="E88:I88"/>
    <mergeCell ref="E140:I140"/>
    <mergeCell ref="H21:I21"/>
    <mergeCell ref="E35:I35"/>
    <mergeCell ref="E153:I153"/>
    <mergeCell ref="E138:I138"/>
    <mergeCell ref="C101:I101"/>
    <mergeCell ref="E74:I74"/>
    <mergeCell ref="F124:I124"/>
    <mergeCell ref="B116:I116"/>
    <mergeCell ref="C10:I10"/>
    <mergeCell ref="H22:I22"/>
    <mergeCell ref="H66:I66"/>
    <mergeCell ref="C99:I99"/>
    <mergeCell ref="C9:I9"/>
    <mergeCell ref="H42:I42"/>
    <mergeCell ref="A146:I146"/>
    <mergeCell ref="E37:I37"/>
    <mergeCell ref="C11:I11"/>
    <mergeCell ref="H67:I67"/>
    <mergeCell ref="H20:I20"/>
    <mergeCell ref="E71:I71"/>
    <mergeCell ref="E142:I142"/>
    <mergeCell ref="H44:I44"/>
    <mergeCell ref="E79:I79"/>
    <mergeCell ref="C13:I13"/>
    <mergeCell ref="E73:I73"/>
    <mergeCell ref="E51:I51"/>
    <mergeCell ref="E87:I87"/>
    <mergeCell ref="C96:I96"/>
    <mergeCell ref="H64:I64"/>
    <mergeCell ref="C6:I6"/>
    <mergeCell ref="C15:I15"/>
    <mergeCell ref="C98:I98"/>
    <mergeCell ref="E34:I34"/>
    <mergeCell ref="E90:I90"/>
    <mergeCell ref="E49:I49"/>
    <mergeCell ref="E27:I27"/>
    <mergeCell ref="E110:I110"/>
    <mergeCell ref="E36:I36"/>
    <mergeCell ref="A114:I114"/>
    <mergeCell ref="E85:I85"/>
    <mergeCell ref="H18:I18"/>
    <mergeCell ref="E75:I75"/>
    <mergeCell ref="E53:I53"/>
  </mergeCells>
  <pageMargins left="0.75" right="0.75" top="1" bottom="1" header="0.5" footer="0.5"/>
  <picture r:id="rId1"/>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00E65100"/>
    <outlinePr summaryBelow="true" summaryRight="true" showOutlineSymbols="false"/>
    <pageSetUpPr/>
  </sheetPr>
  <dimension ref="A1:A61"/>
  <sheetViews>
    <sheetView workbookViewId="0">
      <selection activeCell="A1" sqref="A1"/>
    </sheetView>
  </sheetViews>
  <sheetFormatPr baseColWidth="8" defaultRowHeight="15"/>
  <cols>
    <col customWidth="true" max="1" min="1" width="110"/>
  </cols>
  <sheetData>
    <row r="1" ht="35" customHeight="true">
      <c r="A1" s="1" t="inlineStr">
        <is>
          <t>客户沟通说明 — 关于本次持仓调整的建议</t>
        </is>
      </c>
    </row>
    <row r="2" ht="20" customHeight="true">
      <c r="A2" s="2" t="inlineStr">
        <is>
          <t>砻淬资本 2026年9月8日 | 可直接用于客户沟通</t>
        </is>
      </c>
    </row>
    <row r="3">
      <c r="A3" s="19" t="inlineStr"/>
    </row>
    <row r="4" ht="20" customHeight="true">
      <c r="A4" s="19" t="inlineStr">
        <is>
          <t>尊敬的客户：</t>
        </is>
      </c>
    </row>
    <row r="5">
      <c r="A5" s="19" t="inlineStr"/>
    </row>
    <row r="6" ht="38" customHeight="true">
      <c r="A6" s="19" t="inlineStr">
        <is>
          <t>针对您提出的"只卖出盈利的公用事业股票、保留亏损的电池股等待反弹"的想法，我们经过详细测算，现将分析结果和建议说明如下。</t>
        </is>
      </c>
    </row>
    <row r="7">
      <c r="A7" s="19" t="inlineStr"/>
    </row>
    <row r="8" ht="25" customHeight="true">
      <c r="A8" s="37" t="inlineStr">
        <is>
          <t>一、当前账户状况</t>
        </is>
      </c>
    </row>
    <row r="9" ht="56" customHeight="true">
      <c r="A9" s="19" t="inlineStr">
        <is>
          <t>截至9月8日14:30，您的账户总资产为1,990,000元（现金230,000元，证券市值1,760,000元）。与13:00汇总页的2,030,000元相比，减少40,000元，全部来自光伏和电池股票的报价下跌，无成交费用。</t>
        </is>
      </c>
    </row>
    <row r="10">
      <c r="A10" s="19" t="inlineStr"/>
    </row>
    <row r="11" ht="56" customHeight="true">
      <c r="A11" s="19" t="inlineStr">
        <is>
          <t>当前持仓中，亏损集中在新能源方向：光伏设备浮亏100,000元，电池制造浮亏82,000元（含今日上午加仓的4,000股浮亏2,000元）；盈利来自公用事业（浮盈60,000元）和宽基ETF（浮盈24,000元）。</t>
        </is>
      </c>
    </row>
    <row r="12">
      <c r="A12" s="19" t="inlineStr"/>
    </row>
    <row r="13" ht="25" customHeight="true">
      <c r="A13" s="37" t="inlineStr">
        <is>
          <t>二、为什么不建议"只卖盈利品种"</t>
        </is>
      </c>
    </row>
    <row r="14" ht="38" customHeight="true">
      <c r="A14" s="19" t="inlineStr">
        <is>
          <t>您希望保留亏损的电池股、只卖出盈利的公用事业，这是很自然的想法。但经过测算，如果只卖出盈利品种（公用事业和宽基ETF），将产生以下问题：</t>
        </is>
      </c>
    </row>
    <row r="15">
      <c r="A15" s="19" t="inlineStr"/>
    </row>
    <row r="16" ht="56" customHeight="true">
      <c r="A16" s="19" t="inlineStr">
        <is>
          <t>第一，集中度反而上升。卖出公用事业和ETF后，剩余持仓全部为新能源，光伏+电池合计占净资产55%以上，远超45%的风控上限；单只电池股占比超过30%，超过25%的单股上限。也就是说，越卖出低风险的盈利品种，组合在高风险新能源上的集中度就越高。</t>
        </is>
      </c>
    </row>
    <row r="17">
      <c r="A17" s="19" t="inlineStr"/>
    </row>
    <row r="18" ht="56" customHeight="true">
      <c r="A18" s="19" t="inlineStr">
        <is>
          <t>第二，联动风险加大。在光伏、电池同时下跌25%的联动情景下（这是我们风控模型中的标准压力情景），仅持有新能源的组合损失率约13.8%，超过12%的风险预算。这意味着如果新能源板块继续下挫，账户回撤将超出可控范围。</t>
        </is>
      </c>
    </row>
    <row r="19">
      <c r="A19" s="19" t="inlineStr"/>
    </row>
    <row r="20" ht="56" customHeight="true">
      <c r="A20" s="19" t="inlineStr">
        <is>
          <t>第三，"等反弹"缺乏时间边界。保留亏损头寸等待反弹是常见的投资心理，但反弹的时间和幅度均不确定。在仓位集中、风控指标超限的情况下等待，相当于用超出预算的风险去博取不确定的收益。账面亏损的大小不应该决定减仓顺序——决定减仓顺序的应该是每个品种对组合整体风险的贡献度。</t>
        </is>
      </c>
    </row>
    <row r="21">
      <c r="A21" s="19" t="inlineStr"/>
    </row>
    <row r="22" ht="25" customHeight="true">
      <c r="A22" s="37" t="inlineStr">
        <is>
          <t>三、建议的调整方案（按组合风险减仓）</t>
        </is>
      </c>
    </row>
    <row r="23" ht="20" customHeight="true">
      <c r="A23" s="19" t="inlineStr">
        <is>
          <t>我们建议在不增加资金、不加杠杆的前提下，进行以下调整：</t>
        </is>
      </c>
    </row>
    <row r="24">
      <c r="A24" s="19" t="inlineStr"/>
    </row>
    <row r="25" ht="22" customHeight="true">
      <c r="A25" s="19" t="inlineStr">
        <is>
          <t xml:space="preserve">    • 卖出光伏设备8,000股（保留12,000股）</t>
        </is>
      </c>
    </row>
    <row r="26" ht="22" customHeight="true">
      <c r="A26" s="19" t="inlineStr">
        <is>
          <t xml:space="preserve">    • 卖出电池制造6,000股（仅卖出历史批次的16,000股中的6,000股；今日上午买入的4,000股不动，继续保留）</t>
        </is>
      </c>
    </row>
    <row r="27" ht="22" customHeight="true">
      <c r="A27" s="19" t="inlineStr">
        <is>
          <t xml:space="preserve">    • 卖出宽基ETF 40,000份（保留80,000份）</t>
        </is>
      </c>
    </row>
    <row r="28" ht="22" customHeight="true">
      <c r="A28" s="19" t="inlineStr">
        <is>
          <t xml:space="preserve">    • 公用事业30,000股全部保留</t>
        </is>
      </c>
    </row>
    <row r="29">
      <c r="A29" s="19" t="inlineStr"/>
    </row>
    <row r="30" ht="20" customHeight="true">
      <c r="A30" s="19" t="inlineStr">
        <is>
          <t>调整后，账户现金升至约730,000元，四项风控约束全部满足：</t>
        </is>
      </c>
    </row>
    <row r="31">
      <c r="A31" s="19" t="inlineStr"/>
    </row>
    <row r="32" ht="22" customHeight="true">
      <c r="A32" s="19" t="inlineStr">
        <is>
          <t xml:space="preserve">    • 单只股票最高占比约21%（≤25%）</t>
        </is>
      </c>
    </row>
    <row r="33" ht="22" customHeight="true">
      <c r="A33" s="19" t="inlineStr">
        <is>
          <t xml:space="preserve">    • 新能源合计占比约36%（≤45%）</t>
        </is>
      </c>
    </row>
    <row r="34" ht="22" customHeight="true">
      <c r="A34" s="19" t="inlineStr">
        <is>
          <t xml:space="preserve">    • 现金约73万元（≥30万元）</t>
        </is>
      </c>
    </row>
    <row r="35" ht="22" customHeight="true">
      <c r="A35" s="19" t="inlineStr">
        <is>
          <t xml:space="preserve">    • 联动情景损失率约11.7%（≤12%）</t>
        </is>
      </c>
    </row>
    <row r="36">
      <c r="A36" s="19" t="inlineStr"/>
    </row>
    <row r="37" ht="38" customHeight="true">
      <c r="A37" s="19" t="inlineStr">
        <is>
          <t>预计卖出费用合计约340元（股票0.08%、ETF 0.03%，每笔最低5元），从卖出收入中一次性扣除。</t>
        </is>
      </c>
    </row>
    <row r="38">
      <c r="A38" s="19" t="inlineStr"/>
    </row>
    <row r="39" ht="25" customHeight="true">
      <c r="A39" s="37" t="inlineStr">
        <is>
          <t>四、保留敞口与重新评估的触发条件</t>
        </is>
      </c>
    </row>
    <row r="40" ht="56" customHeight="true">
      <c r="A40" s="19" t="inlineStr">
        <is>
          <t>我们理解您希望保留新能源方向敞口的意愿。调整后，电池股仍保留14,000股（含今日加仓的4,000股），占净资产约21%；光伏保留12,000股，占约15%；新能源合计占约36%，仍然是组合中的重要配置。公用事业全部保留，宽基ETF保留三分之二。</t>
        </is>
      </c>
    </row>
    <row r="41">
      <c r="A41" s="19" t="inlineStr"/>
    </row>
    <row r="42" ht="20" customHeight="true">
      <c r="A42" s="19" t="inlineStr">
        <is>
          <t>以下条件触发时，我们将主动与您沟通并重新评估仓位：</t>
        </is>
      </c>
    </row>
    <row r="43">
      <c r="A43" s="19" t="inlineStr"/>
    </row>
    <row r="44" ht="22" customHeight="true">
      <c r="A44" s="19" t="inlineStr">
        <is>
          <t xml:space="preserve">    1. 电池股反弹至成本线附近（历史批次均价35.00元/股、今日批次均价30.50元/股），届时可评估是否减仓锁定收益或继续持有。</t>
        </is>
      </c>
    </row>
    <row r="45" ht="22" customHeight="true">
      <c r="A45" s="19" t="inlineStr">
        <is>
          <t xml:space="preserve">    2. 新能源板块继续下跌，导致联动情景损失率再次接近12%上限，或单只股票占比接近25%，须主动减仓以维持风控约束。经测算，次日新能源下跌5%以内约束仍可满足（联动损失率约11.5%），但若跌幅超过5%则需追加减仓。</t>
        </is>
      </c>
    </row>
    <row r="46" ht="22" customHeight="true">
      <c r="A46" s="19" t="inlineStr">
        <is>
          <t xml:space="preserve">    3. 基本面发生方向性变化：电池行业产能利用率、产品价格趋势或政策环境出现重大变化，需重新评估持有逻辑。</t>
        </is>
      </c>
    </row>
    <row r="47" ht="22" customHeight="true">
      <c r="A47" s="19" t="inlineStr">
        <is>
          <t xml:space="preserve">    4. 您有资金使用需求：优先从盈利或低波动品种中调出，避免在亏损品种上被迫割肉。</t>
        </is>
      </c>
    </row>
    <row r="48">
      <c r="A48" s="19" t="inlineStr"/>
    </row>
    <row r="49" ht="25" customHeight="true">
      <c r="A49" s="37" t="inlineStr">
        <is>
          <t>五、关于"保留全部电池股"的特别说明</t>
        </is>
      </c>
    </row>
    <row r="50" ht="56" customHeight="true">
      <c r="A50" s="19" t="inlineStr">
        <is>
          <t>如果您坚持保留全部电池股（即电池股卖出0股），我们需要明确告知：在不增加资金、不加杠杆的前提下，单只股票不超过净资产25%的约束将被突破——电池股600,000元的市值即使在卖完全部光伏后仍占净资产约30.2%。这是一个数学上的硬约束，卖出其他品种只会进一步提高电池股的占比。</t>
        </is>
      </c>
    </row>
    <row r="51">
      <c r="A51" s="19" t="inlineStr"/>
    </row>
    <row r="52" ht="74" customHeight="true">
      <c r="A52" s="19" t="inlineStr">
        <is>
          <t>如果您确需保留全部电池股，有三个选项：①将电池股的单股上限从25%放宽至至少30.2%（需您书面确认接受该超限风险）；②同意至少卖出3,400股历史批次的电池股（保留16,600股，占比可降至25%以内）；③注入外部资金至少410,000元（但这违反了"不增加资金"的约定）。我们不会替您默许提高风险预算，请您确认后再执行。</t>
        </is>
      </c>
    </row>
    <row r="53">
      <c r="A53" s="19" t="inlineStr"/>
    </row>
    <row r="54" ht="25" customHeight="true">
      <c r="A54" s="37" t="inlineStr">
        <is>
          <t>六、重要提示</t>
        </is>
      </c>
    </row>
    <row r="55" ht="22" customHeight="true">
      <c r="A55" s="19" t="inlineStr">
        <is>
          <t xml:space="preserve">    • 本方案基于9月8日14:30买一价测算，实际成交价以委托成交为准。成交前需复核涨跌停状态、实际可卖数量和盘口深度。</t>
        </is>
      </c>
    </row>
    <row r="56" ht="22" customHeight="true">
      <c r="A56" s="19" t="inlineStr">
        <is>
          <t xml:space="preserve">    • 今日上午买入的4,000股电池股当日不可卖出，下一交易日（9月9日）起方可交易。</t>
        </is>
      </c>
    </row>
    <row r="57" ht="22" customHeight="true">
      <c r="A57" s="19" t="inlineStr">
        <is>
          <t xml:space="preserve">    • 股票和ETF卖出均按100股/份的整数倍委托。</t>
        </is>
      </c>
    </row>
    <row r="58" ht="22" customHeight="true">
      <c r="A58" s="19" t="inlineStr">
        <is>
          <t xml:space="preserve">    • 我们不承诺回本，也不预测具体反弹时点。以上建议基于风控约束和组合分散原则，最终交易决策由您确认后执行。</t>
        </is>
      </c>
    </row>
    <row r="59">
      <c r="A59" s="19" t="inlineStr"/>
    </row>
    <row r="60" ht="20" customHeight="true">
      <c r="A60" s="20" t="inlineStr">
        <is>
          <t>砻淬资本</t>
        </is>
      </c>
    </row>
    <row r="61" ht="20" customHeight="true">
      <c r="A61" s="20" t="inlineStr">
        <is>
          <t>2026年9月8日</t>
        </is>
      </c>
    </row>
  </sheetData>
  <mergeCells count="2">
    <mergeCell ref="A2"/>
    <mergeCell ref="A1"/>
  </mergeCells>
  <pageMargins left="0.75" right="0.75" top="1" bottom="1" header="0.5" footer="0.5"/>
  <picture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dc:creator xmlns:dc="http://purl.org/dc/elements/1.1/">openpyxl</dc:creator>
    <dcterms:created xmlns:dcterms="http://purl.org/dc/terms/" xmlns:xsi="http://www.w3.org/2001/XMLSchema-instance" xsi:type="dcterms:W3CDTF">2026-09-11T06:43:01Z</dcterms:created>
    <dcterms:modified xmlns:dcterms="http://purl.org/dc/terms/" xmlns:xsi="http://www.w3.org/2001/XMLSchema-instance" xsi:type="dcterms:W3CDTF">2026-09-11T06:43:01Z</dcterms:modified>
    <dc:description>﻿﻿﻿﻿﻿﻿﻿﻿﻿﻿﻿﻿﻿﻿﻿﻿﻿﻿﻿﻿﻿﻿﻿﻿﻿⁣⁢⁠</dc:description>
</cp:coreProperties>

</file>