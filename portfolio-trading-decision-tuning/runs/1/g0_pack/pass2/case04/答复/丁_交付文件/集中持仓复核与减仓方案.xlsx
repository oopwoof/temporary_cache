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核对" sheetId="1" state="visible" r:id="rId1"/>
    <sheet xmlns:r="http://schemas.openxmlformats.org/officeDocument/2006/relationships" name="调整与情景测算" sheetId="2" state="visible" r:id="rId2"/>
    <sheet xmlns:r="http://schemas.openxmlformats.org/officeDocument/2006/relationships" name="客户沟通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  <sz val="11"/>
    </font>
    <font>
      <b val="1"/>
      <sz val="12"/>
    </font>
    <font>
      <b val="1"/>
    </font>
    <font>
      <b val="1"/>
      <i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  <xf numFmtId="0" fontId="0" fillId="3" borderId="0" pivotButton="0" quotePrefix="0" xfId="0"/>
    <xf numFmtId="0" fontId="3" fillId="3" borderId="0" pivotButton="0" quotePrefix="0" xfId="0"/>
    <xf numFmtId="3" fontId="3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3" fontId="0" fillId="4" borderId="0" pivotButton="0" quotePrefix="0" xfId="0"/>
    <xf numFmtId="0" fontId="5" fillId="0" borderId="0" pivotButton="0" quotePrefix="0" xfId="0"/>
    <xf numFmtId="0" fontId="6" fillId="0" borderId="0" pivotButton="0" quotePrefix="0" xfId="0"/>
    <xf numFmtId="3" fontId="3" fillId="0" borderId="0" pivotButton="0" quotePrefix="0" xfId="0"/>
    <xf numFmtId="10" fontId="0" fillId="0" borderId="0" pivotButton="0" quotePrefix="0" xfId="0"/>
    <xf numFmtId="10" fontId="3" fillId="0" borderId="0" pivotButton="0" quotePrefix="0" xfId="0"/>
    <xf numFmtId="0" fontId="7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2" customWidth="1" min="3" max="3"/>
    <col width="13" customWidth="1" min="4" max="4"/>
    <col width="10" customWidth="1" min="5" max="5"/>
    <col width="14" customWidth="1" min="6" max="6"/>
    <col width="10" customWidth="1" min="7" max="7"/>
    <col width="14" customWidth="1" min="8" max="8"/>
    <col width="14" customWidth="1" min="9" max="9"/>
  </cols>
  <sheetData>
    <row r="1">
      <c r="A1" s="1" t="inlineStr">
        <is>
          <t>集中持仓复核与减仓处理方案（决策件）</t>
        </is>
      </c>
    </row>
    <row r="2">
      <c r="A2" t="inlineStr">
        <is>
          <t>砻淬资本　复核时点：2026-09-08（周二）14:30　人民币普通证券账户，无负债、融资、质押及其他资产</t>
        </is>
      </c>
    </row>
    <row r="3">
      <c r="A3" t="inlineStr">
        <is>
          <t>口径：证券按14:30买一价测算；现金两时点均为230,000元；今日10:12买入的电池4,000股当日不可卖（T+1）。费用仅卖出时按附件标准扣现金一次。</t>
        </is>
      </c>
    </row>
    <row r="4"/>
    <row r="5">
      <c r="A5" s="2" t="inlineStr">
        <is>
          <t>代号</t>
        </is>
      </c>
      <c r="B5" s="2" t="inlineStr">
        <is>
          <t>资产</t>
        </is>
      </c>
      <c r="C5" s="2" t="inlineStr">
        <is>
          <t>数量(股/份)</t>
        </is>
      </c>
      <c r="D5" s="2" t="inlineStr">
        <is>
          <t>批次成本(元)</t>
        </is>
      </c>
      <c r="E5" s="2" t="inlineStr">
        <is>
          <t>13:00价</t>
        </is>
      </c>
      <c r="F5" s="2" t="inlineStr">
        <is>
          <t>13:00市值(元)</t>
        </is>
      </c>
      <c r="G5" s="2" t="inlineStr">
        <is>
          <t>14:30价</t>
        </is>
      </c>
      <c r="H5" s="2" t="inlineStr">
        <is>
          <t>14:30市值(元)</t>
        </is>
      </c>
      <c r="I5" s="2" t="inlineStr">
        <is>
          <t>浮动盈亏(元)</t>
        </is>
      </c>
    </row>
    <row r="6">
      <c r="A6" t="inlineStr">
        <is>
          <t>EQ01</t>
        </is>
      </c>
      <c r="B6" t="inlineStr">
        <is>
          <t>光伏设备</t>
        </is>
      </c>
      <c r="C6" t="n">
        <v>20000</v>
      </c>
      <c r="D6" s="3" t="n">
        <v>600000</v>
      </c>
      <c r="E6" t="n">
        <v>26</v>
      </c>
      <c r="F6" s="3">
        <f>C6*E6</f>
        <v/>
      </c>
      <c r="G6" t="n">
        <v>25</v>
      </c>
      <c r="H6" s="3">
        <f>C6*G6</f>
        <v/>
      </c>
      <c r="I6" s="3">
        <f>H6-D6</f>
        <v/>
      </c>
    </row>
    <row r="7">
      <c r="A7" t="inlineStr">
        <is>
          <t>EQ02</t>
        </is>
      </c>
      <c r="B7" t="inlineStr">
        <is>
          <t>电池制造(老批)</t>
        </is>
      </c>
      <c r="C7" t="n">
        <v>16000</v>
      </c>
      <c r="D7" s="3" t="n">
        <v>560000</v>
      </c>
      <c r="E7" t="n">
        <v>31</v>
      </c>
      <c r="F7" s="3">
        <f>C7*E7</f>
        <v/>
      </c>
      <c r="G7" t="n">
        <v>30</v>
      </c>
      <c r="H7" s="3">
        <f>C7*G7</f>
        <v/>
      </c>
      <c r="I7" s="3">
        <f>H7-D7</f>
        <v/>
      </c>
    </row>
    <row r="8">
      <c r="A8" t="inlineStr">
        <is>
          <t>EQ02</t>
        </is>
      </c>
      <c r="B8" t="inlineStr">
        <is>
          <t>电池制造(今日新批)</t>
        </is>
      </c>
      <c r="C8" t="n">
        <v>4000</v>
      </c>
      <c r="D8" s="3" t="n">
        <v>122000</v>
      </c>
      <c r="E8" t="n">
        <v>31</v>
      </c>
      <c r="F8" s="3">
        <f>C8*E8</f>
        <v/>
      </c>
      <c r="G8" t="n">
        <v>30</v>
      </c>
      <c r="H8" s="3">
        <f>C8*G8</f>
        <v/>
      </c>
      <c r="I8" s="3">
        <f>H8-D8</f>
        <v/>
      </c>
    </row>
    <row r="9">
      <c r="A9" t="inlineStr">
        <is>
          <t>EQ03</t>
        </is>
      </c>
      <c r="B9" t="inlineStr">
        <is>
          <t>公用事业</t>
        </is>
      </c>
      <c r="C9" t="n">
        <v>30000</v>
      </c>
      <c r="D9" s="3" t="n">
        <v>240000</v>
      </c>
      <c r="E9" t="n">
        <v>10</v>
      </c>
      <c r="F9" s="3">
        <f>C9*E9</f>
        <v/>
      </c>
      <c r="G9" t="n">
        <v>10</v>
      </c>
      <c r="H9" s="3">
        <f>C9*G9</f>
        <v/>
      </c>
      <c r="I9" s="3">
        <f>H9-D9</f>
        <v/>
      </c>
    </row>
    <row r="10">
      <c r="A10" t="inlineStr">
        <is>
          <t>ETF01</t>
        </is>
      </c>
      <c r="B10" t="inlineStr">
        <is>
          <t>A股宽基ETF</t>
        </is>
      </c>
      <c r="C10" t="n">
        <v>120000</v>
      </c>
      <c r="D10" s="3" t="n">
        <v>336000</v>
      </c>
      <c r="E10" t="n">
        <v>3</v>
      </c>
      <c r="F10" s="3">
        <f>C10*E10</f>
        <v/>
      </c>
      <c r="G10" t="n">
        <v>3</v>
      </c>
      <c r="H10" s="3">
        <f>C10*G10</f>
        <v/>
      </c>
      <c r="I10" s="3">
        <f>H10-D10</f>
        <v/>
      </c>
    </row>
    <row r="11">
      <c r="A11" s="4" t="n"/>
      <c r="B11" s="5" t="inlineStr">
        <is>
          <t>证券合计</t>
        </is>
      </c>
      <c r="C11" s="5">
        <f>SUM(C6:C10)</f>
        <v/>
      </c>
      <c r="D11" s="6">
        <f>SUM(D6:D10)</f>
        <v/>
      </c>
      <c r="E11" s="4" t="n"/>
      <c r="F11" s="6">
        <f>SUM(F6:F10)</f>
        <v/>
      </c>
      <c r="G11" s="4" t="n"/>
      <c r="H11" s="6">
        <f>SUM(H6:H10)</f>
        <v/>
      </c>
      <c r="I11" s="6">
        <f>SUM(I6:I10)</f>
        <v/>
      </c>
    </row>
    <row r="12">
      <c r="B12" t="inlineStr">
        <is>
          <t>现金（两时点均未变动）</t>
        </is>
      </c>
      <c r="D12" s="7" t="n">
        <v>230000</v>
      </c>
    </row>
    <row r="13">
      <c r="B13" s="8" t="inlineStr">
        <is>
          <t>账户净资产＝证券市值＋现金</t>
        </is>
      </c>
      <c r="F13">
        <f>F11+D12</f>
        <v/>
      </c>
      <c r="H13">
        <f>H11+D12</f>
        <v/>
      </c>
    </row>
    <row r="14">
      <c r="B14" t="inlineStr">
        <is>
          <t>13:00汇总页总资产（未随报价更新）</t>
        </is>
      </c>
      <c r="F14" s="7" t="n">
        <v>2030000</v>
      </c>
    </row>
    <row r="15">
      <c r="B15" t="inlineStr">
        <is>
          <t>差额：13:00汇总页 − 14:30实测净资产</t>
        </is>
      </c>
      <c r="F15">
        <f>F14-H13</f>
        <v/>
      </c>
    </row>
    <row r="16">
      <c r="B16" t="inlineStr">
        <is>
          <t>差额来源说明</t>
        </is>
      </c>
      <c r="F16" s="9" t="inlineStr">
        <is>
          <t>完全来自行情波动：光伏26→25（20,000股×1元=20,000）、电池31→30（20,000股×1元=20,000），合计-40,000；现金不变，今日新买入电池已在10:12从现金扣除，不重复扣减。</t>
        </is>
      </c>
    </row>
    <row r="17"/>
    <row r="18">
      <c r="A18" s="10" t="inlineStr">
        <is>
          <t>本次采用口径（决策分母）</t>
        </is>
      </c>
    </row>
    <row r="19">
      <c r="A19" s="8" t="inlineStr">
        <is>
          <t>14:30账户净资产（未调整）</t>
        </is>
      </c>
      <c r="B19">
        <f>H13</f>
        <v/>
      </c>
    </row>
    <row r="20">
      <c r="A20" s="8" t="inlineStr">
        <is>
          <t>其中现金</t>
        </is>
      </c>
      <c r="B20" t="n">
        <v>230000</v>
      </c>
    </row>
    <row r="21">
      <c r="A21" s="8" t="inlineStr">
        <is>
          <t>其中证券市值</t>
        </is>
      </c>
      <c r="B21">
        <f>H11</f>
        <v/>
      </c>
    </row>
    <row r="22">
      <c r="A22" s="8" t="inlineStr">
        <is>
          <t>浮动盈亏合计</t>
        </is>
      </c>
      <c r="B22">
        <f>I11</f>
        <v/>
      </c>
    </row>
    <row r="23"/>
    <row r="24">
      <c r="A24" s="10" t="inlineStr">
        <is>
          <t>可卖批次台账（今日可卖口径）</t>
        </is>
      </c>
    </row>
    <row r="25">
      <c r="A25" s="2" t="inlineStr">
        <is>
          <t>代号</t>
        </is>
      </c>
      <c r="B25" s="2" t="inlineStr">
        <is>
          <t>资产</t>
        </is>
      </c>
      <c r="C25" s="2" t="inlineStr">
        <is>
          <t>批次</t>
        </is>
      </c>
      <c r="D25" s="2" t="inlineStr">
        <is>
          <t>数量</t>
        </is>
      </c>
      <c r="E25" s="2" t="inlineStr">
        <is>
          <t>批次成本</t>
        </is>
      </c>
      <c r="F25" s="2" t="inlineStr">
        <is>
          <t>今日可卖数量</t>
        </is>
      </c>
      <c r="G25" s="2" t="inlineStr">
        <is>
          <t>可卖起始</t>
        </is>
      </c>
    </row>
    <row r="26">
      <c r="A26" t="inlineStr">
        <is>
          <t>EQ01</t>
        </is>
      </c>
      <c r="B26" t="inlineStr">
        <is>
          <t>光伏设备</t>
        </is>
      </c>
      <c r="C26" t="inlineStr">
        <is>
          <t>存量批次</t>
        </is>
      </c>
      <c r="D26" t="n">
        <v>20000</v>
      </c>
      <c r="E26" t="n">
        <v>600000</v>
      </c>
      <c r="F26" t="n">
        <v>20000</v>
      </c>
      <c r="G26" t="inlineStr">
        <is>
          <t>此前已可卖</t>
        </is>
      </c>
    </row>
    <row r="27">
      <c r="A27" t="inlineStr">
        <is>
          <t>EQ02</t>
        </is>
      </c>
      <c r="B27" t="inlineStr">
        <is>
          <t>电池制造</t>
        </is>
      </c>
      <c r="C27" t="inlineStr">
        <is>
          <t>存量批次</t>
        </is>
      </c>
      <c r="D27" t="n">
        <v>16000</v>
      </c>
      <c r="E27" t="n">
        <v>560000</v>
      </c>
      <c r="F27" t="n">
        <v>16000</v>
      </c>
      <c r="G27" t="inlineStr">
        <is>
          <t>此前已可卖</t>
        </is>
      </c>
    </row>
    <row r="28">
      <c r="A28" t="inlineStr">
        <is>
          <t>EQ02</t>
        </is>
      </c>
      <c r="B28" t="inlineStr">
        <is>
          <t>电池制造</t>
        </is>
      </c>
      <c r="C28" t="inlineStr">
        <is>
          <t>今日10:12买入</t>
        </is>
      </c>
      <c r="D28" t="n">
        <v>4000</v>
      </c>
      <c r="E28" t="n">
        <v>122000</v>
      </c>
      <c r="F28" t="n">
        <v>0</v>
      </c>
      <c r="G28" t="inlineStr">
        <is>
          <t>2026-09-09(周三)起</t>
        </is>
      </c>
    </row>
    <row r="29">
      <c r="A29" t="inlineStr">
        <is>
          <t>EQ03</t>
        </is>
      </c>
      <c r="B29" t="inlineStr">
        <is>
          <t>公用事业</t>
        </is>
      </c>
      <c r="C29" t="inlineStr">
        <is>
          <t>存量批次</t>
        </is>
      </c>
      <c r="D29" t="n">
        <v>30000</v>
      </c>
      <c r="E29" t="n">
        <v>240000</v>
      </c>
      <c r="F29" t="n">
        <v>30000</v>
      </c>
      <c r="G29" t="inlineStr">
        <is>
          <t>此前已可卖</t>
        </is>
      </c>
    </row>
    <row r="30">
      <c r="A30" t="inlineStr">
        <is>
          <t>ETF01</t>
        </is>
      </c>
      <c r="B30" t="inlineStr">
        <is>
          <t>宽基ETF</t>
        </is>
      </c>
      <c r="C30" t="inlineStr">
        <is>
          <t>存量批次</t>
        </is>
      </c>
      <c r="D30" t="n">
        <v>120000</v>
      </c>
      <c r="E30" t="n">
        <v>336000</v>
      </c>
      <c r="F30" t="n">
        <v>120000</v>
      </c>
      <c r="G30" t="inlineStr">
        <is>
          <t>此前已可卖</t>
        </is>
      </c>
    </row>
    <row r="31">
      <c r="E31" s="8" t="inlineStr">
        <is>
          <t>今日可卖合计</t>
        </is>
      </c>
      <c r="F31" s="8">
        <f>SUM(F26:F30)</f>
        <v/>
      </c>
    </row>
    <row r="32">
      <c r="A32" t="inlineStr">
        <is>
          <t>注：今日买入电池4,000股已从现金扣除，T+1，今日不得列入可卖；9/9起该批方可卖。每品种每日合并为一笔测算。</t>
        </is>
      </c>
    </row>
  </sheetData>
  <mergeCells count="2">
    <mergeCell ref="A32:I32"/>
    <mergeCell ref="F16:I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9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0" t="inlineStr">
        <is>
          <t>两方案对比与四项硬约束测算（以14:30买一价为参考，黄色=输入项，其余为公式）</t>
        </is>
      </c>
    </row>
    <row r="3">
      <c r="A3" s="2" t="inlineStr">
        <is>
          <t>项目</t>
        </is>
      </c>
      <c r="B3" s="2" t="inlineStr">
        <is>
          <t>未调整(14:30)</t>
        </is>
      </c>
      <c r="C3" s="2" t="inlineStr">
        <is>
          <t>方案A：只卖盈利(公用事业全卖)</t>
        </is>
      </c>
      <c r="D3" s="2" t="inlineStr">
        <is>
          <t>方案B：按组合风险减仓</t>
        </is>
      </c>
      <c r="E3" s="2" t="inlineStr">
        <is>
          <t>客户坚持保留电池(光伏全卖)</t>
        </is>
      </c>
    </row>
    <row r="4">
      <c r="A4" t="inlineStr">
        <is>
          <t>拟卖 EQ01 光伏(股)</t>
        </is>
      </c>
      <c r="B4" s="11" t="n">
        <v>0</v>
      </c>
      <c r="C4" s="11" t="n">
        <v>0</v>
      </c>
      <c r="D4" s="11" t="n">
        <v>12400</v>
      </c>
      <c r="E4" s="11" t="n">
        <v>20000</v>
      </c>
    </row>
    <row r="5">
      <c r="A5" t="inlineStr">
        <is>
          <t>拟卖 EQ02 电池·老批(股)</t>
        </is>
      </c>
      <c r="B5" s="11" t="n">
        <v>0</v>
      </c>
      <c r="C5" s="11" t="n">
        <v>0</v>
      </c>
      <c r="D5" s="11" t="n">
        <v>3500</v>
      </c>
      <c r="E5" s="11" t="n">
        <v>0</v>
      </c>
    </row>
    <row r="6">
      <c r="A6" t="inlineStr">
        <is>
          <t>拟卖 EQ03 公用事业(股)</t>
        </is>
      </c>
      <c r="B6" s="11" t="n">
        <v>0</v>
      </c>
      <c r="C6" s="11" t="n">
        <v>30000</v>
      </c>
      <c r="D6" s="11" t="n">
        <v>0</v>
      </c>
      <c r="E6" s="11" t="n">
        <v>0</v>
      </c>
    </row>
    <row r="7">
      <c r="A7" t="inlineStr">
        <is>
          <t>拟卖 ETF01(份)</t>
        </is>
      </c>
      <c r="B7" s="11" t="n">
        <v>0</v>
      </c>
      <c r="C7" s="11" t="n">
        <v>0</v>
      </c>
      <c r="D7" s="11" t="n">
        <v>0</v>
      </c>
      <c r="E7" s="11" t="n">
        <v>0</v>
      </c>
    </row>
    <row r="8">
      <c r="A8" s="8" t="inlineStr">
        <is>
          <t>备注</t>
        </is>
      </c>
      <c r="B8" t="inlineStr">
        <is>
          <t>不交易</t>
        </is>
      </c>
      <c r="C8" t="inlineStr">
        <is>
          <t>卖盈利公用事业</t>
        </is>
      </c>
      <c r="D8" t="inlineStr">
        <is>
          <t>卖集中的光伏+少量电池老批</t>
        </is>
      </c>
      <c r="E8" t="inlineStr">
        <is>
          <t>不卖电池，卖光光伏</t>
        </is>
      </c>
    </row>
    <row r="10">
      <c r="A10" s="12" t="inlineStr">
        <is>
          <t>参考价/持仓/成本参数（输入区）</t>
        </is>
      </c>
    </row>
    <row r="11">
      <c r="A11" t="inlineStr">
        <is>
          <t>EQ01 光伏 参考价</t>
        </is>
      </c>
      <c r="B11" s="7" t="n">
        <v>25</v>
      </c>
    </row>
    <row r="12">
      <c r="A12" t="inlineStr">
        <is>
          <t>EQ02 电池 参考价</t>
        </is>
      </c>
      <c r="B12" s="7" t="n">
        <v>30</v>
      </c>
    </row>
    <row r="13">
      <c r="A13" t="inlineStr">
        <is>
          <t>EQ03 公用 参考价</t>
        </is>
      </c>
      <c r="B13" s="7" t="n">
        <v>10</v>
      </c>
    </row>
    <row r="14">
      <c r="A14" t="inlineStr">
        <is>
          <t>ETF01 参考价</t>
        </is>
      </c>
      <c r="B14" s="7" t="n">
        <v>3</v>
      </c>
    </row>
    <row r="15">
      <c r="A15" t="inlineStr">
        <is>
          <t>EQ01 持仓(股)</t>
        </is>
      </c>
      <c r="B15" s="7" t="n">
        <v>20000</v>
      </c>
    </row>
    <row r="16">
      <c r="A16" t="inlineStr">
        <is>
          <t>EQ02 总持仓(股,含今日新批)</t>
        </is>
      </c>
      <c r="B16" s="7" t="n">
        <v>20000</v>
      </c>
    </row>
    <row r="17">
      <c r="A17" t="inlineStr">
        <is>
          <t>EQ03 持仓(股)</t>
        </is>
      </c>
      <c r="B17" s="7" t="n">
        <v>30000</v>
      </c>
    </row>
    <row r="18">
      <c r="A18" t="inlineStr">
        <is>
          <t>ETF01 持仓(份)</t>
        </is>
      </c>
      <c r="B18" s="7" t="n">
        <v>120000</v>
      </c>
    </row>
    <row r="19">
      <c r="A19" t="inlineStr">
        <is>
          <t>成本/股 EQ01(30)</t>
        </is>
      </c>
      <c r="B19" s="7" t="n">
        <v>30</v>
      </c>
    </row>
    <row r="20">
      <c r="A20" t="inlineStr">
        <is>
          <t>成本/股 EQ02老批(35)</t>
        </is>
      </c>
      <c r="B20" s="7" t="n">
        <v>35</v>
      </c>
    </row>
    <row r="21">
      <c r="A21" t="inlineStr">
        <is>
          <t>成本/股 EQ03(8)</t>
        </is>
      </c>
      <c r="B21" s="7" t="n">
        <v>8</v>
      </c>
    </row>
    <row r="22">
      <c r="A22" t="inlineStr">
        <is>
          <t>成本/份 ETF(2.8)</t>
        </is>
      </c>
      <c r="B22" s="7" t="n">
        <v>2.8</v>
      </c>
    </row>
    <row r="25">
      <c r="A25" s="13" t="inlineStr">
        <is>
          <t>—— 成交测算（按14:30价）——</t>
        </is>
      </c>
    </row>
    <row r="26">
      <c r="A26" t="inlineStr">
        <is>
          <t>EQ01 卖出成交额</t>
        </is>
      </c>
      <c r="B26" s="3">
        <f>B4*$B$11</f>
        <v/>
      </c>
      <c r="C26" s="3">
        <f>C4*$B$11</f>
        <v/>
      </c>
      <c r="D26" s="3">
        <f>D4*$B$11</f>
        <v/>
      </c>
      <c r="E26" s="3">
        <f>E4*$B$11</f>
        <v/>
      </c>
    </row>
    <row r="27">
      <c r="A27" t="inlineStr">
        <is>
          <t>EQ02 卖出成交额</t>
        </is>
      </c>
      <c r="B27" s="3">
        <f>B5*$B$12</f>
        <v/>
      </c>
      <c r="C27" s="3">
        <f>C5*$B$12</f>
        <v/>
      </c>
      <c r="D27" s="3">
        <f>D5*$B$12</f>
        <v/>
      </c>
      <c r="E27" s="3">
        <f>E5*$B$12</f>
        <v/>
      </c>
    </row>
    <row r="28">
      <c r="A28" t="inlineStr">
        <is>
          <t>EQ03 卖出成交额</t>
        </is>
      </c>
      <c r="B28" s="3">
        <f>B6*$B$13</f>
        <v/>
      </c>
      <c r="C28" s="3">
        <f>C6*$B$13</f>
        <v/>
      </c>
      <c r="D28" s="3">
        <f>D6*$B$13</f>
        <v/>
      </c>
      <c r="E28" s="3">
        <f>E6*$B$13</f>
        <v/>
      </c>
    </row>
    <row r="29">
      <c r="A29" t="inlineStr">
        <is>
          <t>ETF 卖出成交额</t>
        </is>
      </c>
      <c r="B29" s="3">
        <f>B7*$B$14</f>
        <v/>
      </c>
      <c r="C29" s="3">
        <f>C7*$B$14</f>
        <v/>
      </c>
      <c r="D29" s="3">
        <f>D7*$B$14</f>
        <v/>
      </c>
      <c r="E29" s="3">
        <f>E7*$B$14</f>
        <v/>
      </c>
    </row>
    <row r="30">
      <c r="A30" t="inlineStr">
        <is>
          <t>EQ01 费用(股票0.08%,最低5)</t>
        </is>
      </c>
      <c r="B30" s="3">
        <f>IF(B26=0,0,MAX(B26*0.0008,5))</f>
        <v/>
      </c>
      <c r="C30" s="3">
        <f>IF(C26=0,0,MAX(C26*0.0008,5))</f>
        <v/>
      </c>
      <c r="D30" s="3">
        <f>IF(D26=0,0,MAX(D26*0.0008,5))</f>
        <v/>
      </c>
      <c r="E30" s="3">
        <f>IF(E26=0,0,MAX(E26*0.0008,5))</f>
        <v/>
      </c>
    </row>
    <row r="31">
      <c r="A31" t="inlineStr">
        <is>
          <t>EQ02 费用</t>
        </is>
      </c>
      <c r="B31" s="3">
        <f>IF(B27=0,0,MAX(B27*0.0008,5))</f>
        <v/>
      </c>
      <c r="C31" s="3">
        <f>IF(C27=0,0,MAX(C27*0.0008,5))</f>
        <v/>
      </c>
      <c r="D31" s="3">
        <f>IF(D27=0,0,MAX(D27*0.0008,5))</f>
        <v/>
      </c>
      <c r="E31" s="3">
        <f>IF(E27=0,0,MAX(E27*0.0008,5))</f>
        <v/>
      </c>
    </row>
    <row r="32">
      <c r="A32" t="inlineStr">
        <is>
          <t>EQ03 费用</t>
        </is>
      </c>
      <c r="B32" s="3">
        <f>IF(B28=0,0,MAX(B28*0.0008,5))</f>
        <v/>
      </c>
      <c r="C32" s="3">
        <f>IF(C28=0,0,MAX(C28*0.0008,5))</f>
        <v/>
      </c>
      <c r="D32" s="3">
        <f>IF(D28=0,0,MAX(D28*0.0008,5))</f>
        <v/>
      </c>
      <c r="E32" s="3">
        <f>IF(E28=0,0,MAX(E28*0.0008,5))</f>
        <v/>
      </c>
    </row>
    <row r="33">
      <c r="A33" t="inlineStr">
        <is>
          <t>ETF 费用(0.03%,最低5)</t>
        </is>
      </c>
      <c r="B33" s="3">
        <f>IF(B29=0,0,MAX(B29*0.0003,5))</f>
        <v/>
      </c>
      <c r="C33" s="3">
        <f>IF(C29=0,0,MAX(C29*0.0003,5))</f>
        <v/>
      </c>
      <c r="D33" s="3">
        <f>IF(D29=0,0,MAX(D29*0.0003,5))</f>
        <v/>
      </c>
      <c r="E33" s="3">
        <f>IF(E29=0,0,MAX(E29*0.0003,5))</f>
        <v/>
      </c>
    </row>
    <row r="34">
      <c r="A34" s="8" t="inlineStr">
        <is>
          <t>费用合计</t>
        </is>
      </c>
      <c r="B34" s="14">
        <f>SUM(B30:B33)</f>
        <v/>
      </c>
      <c r="C34" s="14">
        <f>SUM(C30:C33)</f>
        <v/>
      </c>
      <c r="D34" s="14">
        <f>SUM(D30:D33)</f>
        <v/>
      </c>
      <c r="E34" s="14">
        <f>SUM(E30:E33)</f>
        <v/>
      </c>
    </row>
    <row r="35">
      <c r="A35" t="inlineStr">
        <is>
          <t>净卖出回款(成交额-费用)</t>
        </is>
      </c>
      <c r="B35" s="3">
        <f>SUM(B26:B29)-B34</f>
        <v/>
      </c>
      <c r="C35" s="3">
        <f>SUM(C26:C29)-C34</f>
        <v/>
      </c>
      <c r="D35" s="3">
        <f>SUM(D26:D29)-D34</f>
        <v/>
      </c>
      <c r="E35" s="3">
        <f>SUM(E26:E29)-E34</f>
        <v/>
      </c>
    </row>
    <row r="36">
      <c r="A36" s="8" t="inlineStr">
        <is>
          <t>交易后现金</t>
        </is>
      </c>
      <c r="B36" s="14">
        <f>230000+B35</f>
        <v/>
      </c>
      <c r="C36" s="14">
        <f>230000+C35</f>
        <v/>
      </c>
      <c r="D36" s="14">
        <f>230000+D35</f>
        <v/>
      </c>
      <c r="E36" s="14">
        <f>230000+E35</f>
        <v/>
      </c>
    </row>
    <row r="37">
      <c r="A37" s="8" t="inlineStr">
        <is>
          <t>交易后净资产(分母)</t>
        </is>
      </c>
      <c r="B37" s="14">
        <f>1990000-B34</f>
        <v/>
      </c>
      <c r="C37" s="14">
        <f>1990000-C34</f>
        <v/>
      </c>
      <c r="D37" s="14">
        <f>1990000-D34</f>
        <v/>
      </c>
      <c r="E37" s="14">
        <f>1990000-E34</f>
        <v/>
      </c>
    </row>
    <row r="39">
      <c r="A39" s="13" t="inlineStr">
        <is>
          <t>—— 剩余持仓市值与权重 ——</t>
        </is>
      </c>
    </row>
    <row r="40">
      <c r="A40" t="inlineStr">
        <is>
          <t>EQ01 剩余市值</t>
        </is>
      </c>
      <c r="B40" s="3">
        <f>($B$15-B4)*$B$11</f>
        <v/>
      </c>
      <c r="C40" s="3">
        <f>($B$15-C4)*$B$11</f>
        <v/>
      </c>
      <c r="D40" s="3">
        <f>($B$15-D4)*$B$11</f>
        <v/>
      </c>
      <c r="E40" s="3">
        <f>($B$15-E4)*$B$11</f>
        <v/>
      </c>
    </row>
    <row r="41">
      <c r="A41" t="inlineStr">
        <is>
          <t>EQ02 剩余市值</t>
        </is>
      </c>
      <c r="B41" s="3">
        <f>($B$16-B5)*$B$12</f>
        <v/>
      </c>
      <c r="C41" s="3">
        <f>($B$16-C5)*$B$12</f>
        <v/>
      </c>
      <c r="D41" s="3">
        <f>($B$16-D5)*$B$12</f>
        <v/>
      </c>
      <c r="E41" s="3">
        <f>($B$16-E5)*$B$12</f>
        <v/>
      </c>
    </row>
    <row r="42">
      <c r="A42" t="inlineStr">
        <is>
          <t>EQ03 剩余市值</t>
        </is>
      </c>
      <c r="B42" s="3">
        <f>($B$17-B6)*$B$13</f>
        <v/>
      </c>
      <c r="C42" s="3">
        <f>($B$17-C6)*$B$13</f>
        <v/>
      </c>
      <c r="D42" s="3">
        <f>($B$17-D6)*$B$13</f>
        <v/>
      </c>
      <c r="E42" s="3">
        <f>($B$17-E6)*$B$13</f>
        <v/>
      </c>
    </row>
    <row r="43">
      <c r="A43" t="inlineStr">
        <is>
          <t>ETF 剩余市值</t>
        </is>
      </c>
      <c r="B43" s="3">
        <f>($B$18-B7)*$B$14</f>
        <v/>
      </c>
      <c r="C43" s="3">
        <f>($B$18-C7)*$B$14</f>
        <v/>
      </c>
      <c r="D43" s="3">
        <f>($B$18-D7)*$B$14</f>
        <v/>
      </c>
      <c r="E43" s="3">
        <f>($B$18-E7)*$B$14</f>
        <v/>
      </c>
    </row>
    <row r="44">
      <c r="A44" s="8" t="inlineStr">
        <is>
          <t>新能源合计(EQ01+EQ02)</t>
        </is>
      </c>
      <c r="B44" s="14">
        <f>B40+B41</f>
        <v/>
      </c>
      <c r="C44" s="14">
        <f>C40+C41</f>
        <v/>
      </c>
      <c r="D44" s="14">
        <f>D40+D41</f>
        <v/>
      </c>
      <c r="E44" s="14">
        <f>E40+E41</f>
        <v/>
      </c>
    </row>
    <row r="46">
      <c r="A46" t="inlineStr">
        <is>
          <t>EQ01 权重</t>
        </is>
      </c>
      <c r="B46" s="15">
        <f>B40/B37</f>
        <v/>
      </c>
      <c r="C46" s="15">
        <f>C40/C37</f>
        <v/>
      </c>
      <c r="D46" s="15">
        <f>D40/D37</f>
        <v/>
      </c>
      <c r="E46" s="15">
        <f>E40/E37</f>
        <v/>
      </c>
    </row>
    <row r="47">
      <c r="A47" t="inlineStr">
        <is>
          <t>EQ02 权重</t>
        </is>
      </c>
      <c r="B47" s="15">
        <f>B41/B37</f>
        <v/>
      </c>
      <c r="C47" s="15">
        <f>C41/C37</f>
        <v/>
      </c>
      <c r="D47" s="15">
        <f>D41/D37</f>
        <v/>
      </c>
      <c r="E47" s="15">
        <f>E41/E37</f>
        <v/>
      </c>
    </row>
    <row r="48">
      <c r="A48" t="inlineStr">
        <is>
          <t>EQ03 权重</t>
        </is>
      </c>
      <c r="B48" s="15">
        <f>B42/B37</f>
        <v/>
      </c>
      <c r="C48" s="15">
        <f>C42/C37</f>
        <v/>
      </c>
      <c r="D48" s="15">
        <f>D42/D37</f>
        <v/>
      </c>
      <c r="E48" s="15">
        <f>E42/E37</f>
        <v/>
      </c>
    </row>
    <row r="49">
      <c r="A49" t="inlineStr">
        <is>
          <t>ETF 权重</t>
        </is>
      </c>
      <c r="B49" s="15">
        <f>B43/B37</f>
        <v/>
      </c>
      <c r="C49" s="15">
        <f>C43/C37</f>
        <v/>
      </c>
      <c r="D49" s="15">
        <f>D43/D37</f>
        <v/>
      </c>
      <c r="E49" s="15">
        <f>E43/E37</f>
        <v/>
      </c>
    </row>
    <row r="50">
      <c r="A50" s="8" t="inlineStr">
        <is>
          <t>新能源权重</t>
        </is>
      </c>
      <c r="B50" s="16">
        <f>B44/B37</f>
        <v/>
      </c>
      <c r="C50" s="16">
        <f>C44/C37</f>
        <v/>
      </c>
      <c r="D50" s="16">
        <f>D44/D37</f>
        <v/>
      </c>
      <c r="E50" s="16">
        <f>E44/E37</f>
        <v/>
      </c>
    </row>
    <row r="51">
      <c r="A51" t="inlineStr">
        <is>
          <t>现金权重</t>
        </is>
      </c>
      <c r="B51" s="15">
        <f>B36/B37</f>
        <v/>
      </c>
      <c r="C51" s="15">
        <f>C36/C37</f>
        <v/>
      </c>
      <c r="D51" s="15">
        <f>D36/D37</f>
        <v/>
      </c>
      <c r="E51" s="15">
        <f>E36/E37</f>
        <v/>
      </c>
    </row>
    <row r="52">
      <c r="A52" t="inlineStr">
        <is>
          <t>权重加总校验(应=100%)</t>
        </is>
      </c>
      <c r="B52" s="15">
        <f>B46+B47+B48+B49+B51</f>
        <v/>
      </c>
      <c r="C52" s="15">
        <f>C46+C47+C48+C49+C51</f>
        <v/>
      </c>
      <c r="D52" s="15">
        <f>D46+D47+D48+D49+D51</f>
        <v/>
      </c>
      <c r="E52" s="15">
        <f>E46+E47+E48+E49+E51</f>
        <v/>
      </c>
    </row>
    <row r="54">
      <c r="A54" s="13" t="inlineStr">
        <is>
          <t>—— 四项硬约束判定 ——</t>
        </is>
      </c>
    </row>
    <row r="55">
      <c r="A55" t="inlineStr">
        <is>
          <t>①单股EQ01≤25%</t>
        </is>
      </c>
      <c r="B55">
        <f>IF(B46&lt;=0.25,"达标","超限")</f>
        <v/>
      </c>
      <c r="C55">
        <f>IF(C46&lt;=0.25,"达标","超限")</f>
        <v/>
      </c>
      <c r="D55">
        <f>IF(D46&lt;=0.25,"达标","超限")</f>
        <v/>
      </c>
      <c r="E55">
        <f>IF(E46&lt;=0.25,"达标","超限")</f>
        <v/>
      </c>
    </row>
    <row r="56">
      <c r="A56" t="inlineStr">
        <is>
          <t>②单股EQ02≤25%</t>
        </is>
      </c>
      <c r="B56">
        <f>IF(B47&lt;=0.25,"达标","超限")</f>
        <v/>
      </c>
      <c r="C56">
        <f>IF(C47&lt;=0.25,"达标","超限")</f>
        <v/>
      </c>
      <c r="D56">
        <f>IF(D47&lt;=0.25,"达标","超限")</f>
        <v/>
      </c>
      <c r="E56">
        <f>IF(E47&lt;=0.25,"达标","超限")</f>
        <v/>
      </c>
    </row>
    <row r="57">
      <c r="A57" t="inlineStr">
        <is>
          <t>③新能源≤45%</t>
        </is>
      </c>
      <c r="B57">
        <f>IF(B50&lt;=0.45,"达标","超限")</f>
        <v/>
      </c>
      <c r="C57">
        <f>IF(C50&lt;=0.45,"达标","超限")</f>
        <v/>
      </c>
      <c r="D57">
        <f>IF(D50&lt;=0.45,"达标","超限")</f>
        <v/>
      </c>
      <c r="E57">
        <f>IF(E50&lt;=0.45,"达标","超限")</f>
        <v/>
      </c>
    </row>
    <row r="58">
      <c r="A58" t="inlineStr">
        <is>
          <t>④现金≥300,000元</t>
        </is>
      </c>
      <c r="B58">
        <f>IF(B36&gt;=300000,"达标","不足")</f>
        <v/>
      </c>
      <c r="C58">
        <f>IF(C36&gt;=300000,"达标","不足")</f>
        <v/>
      </c>
      <c r="D58">
        <f>IF(D36&gt;=300000,"达标","不足")</f>
        <v/>
      </c>
      <c r="E58">
        <f>IF(E36&gt;=300000,"达标","不足")</f>
        <v/>
      </c>
    </row>
    <row r="59">
      <c r="A59" t="inlineStr">
        <is>
          <t>联动损失额(元)</t>
        </is>
      </c>
      <c r="B59" s="3">
        <f>0.25*B40+0.25*B41+0.08*B42+0.12*B43</f>
        <v/>
      </c>
      <c r="C59" s="3">
        <f>0.25*C40+0.25*C41+0.08*C42+0.12*C43</f>
        <v/>
      </c>
      <c r="D59" s="3">
        <f>0.25*D40+0.25*D41+0.08*D42+0.12*D43</f>
        <v/>
      </c>
      <c r="E59" s="3">
        <f>0.25*E40+0.25*E41+0.08*E42+0.12*E43</f>
        <v/>
      </c>
    </row>
    <row r="60">
      <c r="A60" s="8" t="inlineStr">
        <is>
          <t>联动损失率(损失/交易后净资产)</t>
        </is>
      </c>
      <c r="B60" s="16">
        <f>B59/B37</f>
        <v/>
      </c>
      <c r="C60" s="16">
        <f>C59/C37</f>
        <v/>
      </c>
      <c r="D60" s="16">
        <f>D59/D37</f>
        <v/>
      </c>
      <c r="E60" s="16">
        <f>E59/E37</f>
        <v/>
      </c>
    </row>
    <row r="61">
      <c r="A61" t="inlineStr">
        <is>
          <t>⑤联动损失≤12%</t>
        </is>
      </c>
      <c r="B61">
        <f>IF(B60&lt;=0.12,"达标","超限")</f>
        <v/>
      </c>
      <c r="C61">
        <f>IF(C60&lt;=0.12,"达标","超限")</f>
        <v/>
      </c>
      <c r="D61">
        <f>IF(D60&lt;=0.12,"达标","超限")</f>
        <v/>
      </c>
      <c r="E61">
        <f>IF(E60&lt;=0.12,"达标","超限")</f>
        <v/>
      </c>
    </row>
    <row r="63">
      <c r="A63" s="13" t="inlineStr">
        <is>
          <t>—— 实现盈亏(扣费后) ——</t>
        </is>
      </c>
    </row>
    <row r="64">
      <c r="A64" t="inlineStr">
        <is>
          <t>EQ01 实现盈亏</t>
        </is>
      </c>
      <c r="B64" s="3">
        <f>B26-B30-B4*$B$19</f>
        <v/>
      </c>
      <c r="C64" s="3">
        <f>C26-C30-C4*$B$19</f>
        <v/>
      </c>
      <c r="D64" s="3">
        <f>D26-D30-D4*$B$19</f>
        <v/>
      </c>
      <c r="E64" s="3">
        <f>E26-E30-E4*$B$19</f>
        <v/>
      </c>
    </row>
    <row r="65">
      <c r="A65" t="inlineStr">
        <is>
          <t>EQ02老批 实现盈亏</t>
        </is>
      </c>
      <c r="B65" s="3">
        <f>B27-B31-B5*$B$20</f>
        <v/>
      </c>
      <c r="C65" s="3">
        <f>C27-C31-C5*$B$20</f>
        <v/>
      </c>
      <c r="D65" s="3">
        <f>D27-D31-D5*$B$20</f>
        <v/>
      </c>
      <c r="E65" s="3">
        <f>E27-E31-E5*$B$20</f>
        <v/>
      </c>
    </row>
    <row r="66">
      <c r="A66" t="inlineStr">
        <is>
          <t>EQ03 实现盈亏</t>
        </is>
      </c>
      <c r="B66" s="3">
        <f>B28-B32-B6*$B$21</f>
        <v/>
      </c>
      <c r="C66" s="3">
        <f>C28-C32-C6*$B$21</f>
        <v/>
      </c>
      <c r="D66" s="3">
        <f>D28-D32-D6*$B$21</f>
        <v/>
      </c>
      <c r="E66" s="3">
        <f>E28-E32-E6*$B$21</f>
        <v/>
      </c>
    </row>
    <row r="67">
      <c r="A67" t="inlineStr">
        <is>
          <t>ETF 实现盈亏</t>
        </is>
      </c>
      <c r="B67" s="3">
        <f>B29-B33-B7*$B$22</f>
        <v/>
      </c>
      <c r="C67" s="3">
        <f>C29-C33-C7*$B$22</f>
        <v/>
      </c>
      <c r="D67" s="3">
        <f>D29-D33-D7*$B$22</f>
        <v/>
      </c>
      <c r="E67" s="3">
        <f>E29-E33-E7*$B$22</f>
        <v/>
      </c>
    </row>
    <row r="68">
      <c r="A68" s="8" t="inlineStr">
        <is>
          <t>合计实现盈亏</t>
        </is>
      </c>
      <c r="B68" s="14">
        <f>SUM(B64:B67)</f>
        <v/>
      </c>
      <c r="C68" s="14">
        <f>SUM(C64:C67)</f>
        <v/>
      </c>
      <c r="D68" s="14">
        <f>SUM(D64:D67)</f>
        <v/>
      </c>
      <c r="E68" s="14">
        <f>SUM(E64:E67)</f>
        <v/>
      </c>
    </row>
    <row r="70">
      <c r="A70" s="8" t="inlineStr">
        <is>
          <t>次日(9/9 周三)情景：新能源再跌5%，其他价不变（以方案B收盘后持仓为起点）</t>
        </is>
      </c>
    </row>
    <row r="71">
      <c r="A71" s="9" t="inlineStr">
        <is>
          <t>说明：先计入新能源-5%，以此时(未交易/未联动冲击)持仓+现金作新分母；再叠加附件联动冲击；今日已扣费用不再扣，5%不重复计入联动损失。</t>
        </is>
      </c>
    </row>
    <row r="72">
      <c r="A72" t="inlineStr">
        <is>
          <t>次日 EQ01(跌5%)</t>
        </is>
      </c>
      <c r="B72" s="3">
        <f>D40*0.95</f>
        <v/>
      </c>
    </row>
    <row r="73">
      <c r="A73" t="inlineStr">
        <is>
          <t>次日 EQ02(跌5%)</t>
        </is>
      </c>
      <c r="B73" s="3">
        <f>D41*0.95</f>
        <v/>
      </c>
    </row>
    <row r="74">
      <c r="A74" t="inlineStr">
        <is>
          <t>次日 EQ03/ETF/现金(不变)</t>
        </is>
      </c>
      <c r="B74" s="3">
        <f>D42+D43+D36</f>
        <v/>
      </c>
    </row>
    <row r="75">
      <c r="A75" s="8" t="inlineStr">
        <is>
          <t>新分母(跌后/未交易/未冲击净资产)</t>
        </is>
      </c>
      <c r="B75" s="3">
        <f>B72+B73+B74</f>
        <v/>
      </c>
    </row>
    <row r="76">
      <c r="A76" t="inlineStr">
        <is>
          <t>增量联动损失(光伏电池-25%/公用-8%/ETF-12%)</t>
        </is>
      </c>
      <c r="B76" s="3">
        <f>0.25*B72+0.25*B73+0.08*D42+0.12*D43</f>
        <v/>
      </c>
    </row>
    <row r="77">
      <c r="A77" s="8" t="inlineStr">
        <is>
          <t>次日联动损失率</t>
        </is>
      </c>
      <c r="B77" s="15">
        <f>B76/B75</f>
        <v/>
      </c>
    </row>
    <row r="78">
      <c r="A78" t="inlineStr">
        <is>
          <t>次日 EQ02 权重</t>
        </is>
      </c>
      <c r="B78" s="15">
        <f>B73/B75</f>
        <v/>
      </c>
    </row>
    <row r="79">
      <c r="A79" t="inlineStr">
        <is>
          <t>次日 新能源权重</t>
        </is>
      </c>
      <c r="B79" s="15">
        <f>(B72+B73)/B75</f>
        <v/>
      </c>
    </row>
    <row r="80">
      <c r="A80" t="inlineStr">
        <is>
          <t>次日现金(≥30万)</t>
        </is>
      </c>
      <c r="B80" s="3">
        <f>D36</f>
        <v/>
      </c>
    </row>
    <row r="82">
      <c r="A82" s="8" t="inlineStr">
        <is>
          <t>if→then 交易纪律（今天9/8与次日9/9分开）</t>
        </is>
      </c>
    </row>
    <row r="83">
      <c r="A83" s="2" t="inlineStr">
        <is>
          <t>编号/触发</t>
        </is>
      </c>
      <c r="B83" s="2" t="inlineStr">
        <is>
          <t>条件(可观察)</t>
        </is>
      </c>
      <c r="C83" s="2" t="inlineStr">
        <is>
          <t>动作与数量、费用、复核</t>
        </is>
      </c>
    </row>
    <row r="84">
      <c r="A84" t="inlineStr">
        <is>
          <t>R1 今日正常</t>
        </is>
      </c>
      <c r="B84" t="inlineStr">
        <is>
          <t>若14:30后报价在买一价附近、各品种可卖数正常、未涨跌停</t>
        </is>
      </c>
      <c r="C84" s="9" t="inlineStr">
        <is>
          <t>按方案B挂限价单：卖EQ01光伏12,400股、EQ02电池老批3,500股（均100股整数倍）；预计费用合计332元、净回笼约414,668元；成交后现金约644,668元、EQ02权重24.88%、新能源34.43%、联动损失率11.98%。</t>
        </is>
      </c>
    </row>
    <row r="85">
      <c r="A85" t="inlineStr">
        <is>
          <t>R2 今日未成交/部分成交</t>
        </is>
      </c>
      <c r="B85" t="inlineStr">
        <is>
          <t>若收盘前该挂单未全部成交或跌停无法卖出</t>
        </is>
      </c>
      <c r="C85" s="9" t="inlineStr">
        <is>
          <t>未成交数量不得视为已减仓；收盘前5分钟若仍有未成交且约束未达，记录未达缺口，次日9/9开盘先复核可卖数与价格，按R5后手补足缺口；禁止今日买入的4,000股电池当日卖出。</t>
        </is>
      </c>
    </row>
    <row r="86">
      <c r="A86" t="inlineStr">
        <is>
          <t>R3 今日新能源跌停</t>
        </is>
      </c>
      <c r="B86" t="inlineStr">
        <is>
          <t>若光伏/电池封跌停、买盘为零或报价失效</t>
        </is>
      </c>
      <c r="C86" s="9" t="inlineStr">
        <is>
          <t>该笔减仓无法按14:30价成交，对应交易后权重/损失标‘无法按测算评估’；不追单、不撤卖改买，次日9/9开盘以实际可成交价重算R5；当日不得加仓、回补或做T。</t>
        </is>
      </c>
    </row>
    <row r="87">
      <c r="A87" t="inlineStr">
        <is>
          <t>R4 今日坚持只卖盈利</t>
        </is>
      </c>
      <c r="B87" t="inlineStr">
        <is>
          <t>若客户坚持只卖公用事业、保留全部光伏与电池</t>
        </is>
      </c>
      <c r="C87" s="9" t="inlineStr">
        <is>
          <t>现金可到约529,760元，但EQ01仍25.13%、EQ02仍30.15%、新能源55.28%、联动损失15.99%——四项中三项不达标；即使连ETF一并卖出，EQ01仍25.13%、联动损失13.82%。该方案不能通过风控，须客户书面确认接受超限或改为方案B。</t>
        </is>
      </c>
    </row>
    <row r="88">
      <c r="A88" t="inlineStr">
        <is>
          <t>R5 次日9/9新能源再跌5%</t>
        </is>
      </c>
      <c r="B88" t="inlineStr">
        <is>
          <t>若9/9新能源较今日收盘再跌5%（其他价不变）</t>
        </is>
      </c>
      <c r="C88" s="9" t="inlineStr">
        <is>
          <t>以调整后持仓为起点重算：EQ02权重约24.05%、新能源约33.28%、联动损失率约11.76%，四项仍达标；不需追加交易。若跌超5%导致EQ02权重逼近25%或联动损失率逼近12%，则按届时价在EQ02可卖量（含今日新批4,000股）内再减至达标，先扣新增交易费用后再复核分母。</t>
        </is>
      </c>
    </row>
    <row r="89">
      <c r="A89" t="inlineStr">
        <is>
          <t>R6 次日继续下行逼近阈值</t>
        </is>
      </c>
      <c r="B89" t="inlineStr">
        <is>
          <t>若任一约束在次日复核时触线(EQ02权重&gt;25%或损失率&gt;12%)</t>
        </is>
      </c>
      <c r="C89" s="9" t="inlineStr">
        <is>
          <t>以届时可成交价，先卖电池老批、再卖光伏(客户偏好保留电池时优先卖光伏)，用整手网格反解到达标数量；未成交则转入下一日，禁止在约束未回限前加仓或补电池。</t>
        </is>
      </c>
    </row>
  </sheetData>
  <mergeCells count="7">
    <mergeCell ref="C89:E89"/>
    <mergeCell ref="C84:E84"/>
    <mergeCell ref="A71:E71"/>
    <mergeCell ref="C87:E87"/>
    <mergeCell ref="C88:E88"/>
    <mergeCell ref="C86:E86"/>
    <mergeCell ref="C85:E8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7" t="inlineStr">
        <is>
          <t>致客户：今日集中持仓复核与减仓建议（可直接转发）</t>
        </is>
      </c>
    </row>
    <row r="3" ht="42" customHeight="1">
      <c r="A3" s="9" t="inlineStr">
        <is>
          <t>尊敬的客户：</t>
        </is>
      </c>
    </row>
    <row r="4" ht="42" customHeight="1">
      <c r="A4" s="9" t="inlineStr">
        <is>
          <t>下午就您关心的“能否只卖出盈利的公用事业、保留亏损的电池股等反弹”，我们以今日14:30买一价和账户交接资料做了复核，结论如下。</t>
        </is>
      </c>
    </row>
    <row r="5" ht="42" customHeight="1">
      <c r="A5" s="9" t="inlineStr"/>
    </row>
    <row r="6" ht="42" customHeight="1">
      <c r="A6" s="18" t="inlineStr">
        <is>
          <t>一、账户核对</t>
        </is>
      </c>
    </row>
    <row r="7" ht="42" customHeight="1">
      <c r="A7" s="9" t="inlineStr">
        <is>
          <t>13:00汇总页总资产203.0万元，是按上午报价计算的；到14:30，现金仍为23.0万元，但光伏和电池报价各下跌约1元/股，证券市值合计下降4.0万元。因此本次所有判断统一采用14:30实测净资产199.0万元（证券176.0万元+现金23.0万元）。今天上午补仓的电池4,000股（成本12.2万元）已在当时扣减现金，今日不能卖出，要到下一交易日9月9日才可卖。</t>
        </is>
      </c>
    </row>
    <row r="8" ht="42" customHeight="1">
      <c r="A8" s="9" t="inlineStr"/>
    </row>
    <row r="9" ht="42" customHeight="1">
      <c r="A9" s="18" t="inlineStr">
        <is>
          <t>二、为什么不能只卖盈利品种</t>
        </is>
      </c>
    </row>
    <row r="10" ht="42" customHeight="1">
      <c r="A10" s="9" t="inlineStr">
        <is>
          <t>您希望保留的电池股（含今日补仓）合计市值约60.0万元，占净资产30.15%；光伏市值50.0万元，占25.13%；两者合计110.0万元，占55.28%。我们的风控要求是：单只股票不超过净资产25%、光伏+电池合计不超过45%、联动情景（光伏电池同跌25%、公用跌8%、宽基ETF跌12%）损失不超过12%、现金不低于30万元。</t>
        </is>
      </c>
    </row>
    <row r="11" ht="42" customHeight="1">
      <c r="A11" s="9" t="inlineStr">
        <is>
          <t>按14:30价，若把盈利的公用事业（30,000股）全部卖出，现金可升至约52.98万元，现金一项达标；但因为要减的正是光伏和电池这两个集中品种，卖出盈利品种并不能降低它们的占比——电池仍占30.15%、光伏仍占25.13%、新能源合计仍占55.28%，联动损失仍有15.99%，三项约束不达标。即使再把宽基ETF一并卖出，光伏占比仍在25.13%、联动损失仍有13.82%。也就是说，“只卖赚钱的、留着亏的”在数学上无法通过风控，这与盈亏大小无关，而与集中度有关。</t>
        </is>
      </c>
    </row>
    <row r="12" ht="42" customHeight="1">
      <c r="A12" s="9" t="inlineStr"/>
    </row>
    <row r="13" ht="42" customHeight="1">
      <c r="A13" s="18" t="inlineStr">
        <is>
          <t>三、建议的处理（方案B：按组合风险减仓）</t>
        </is>
      </c>
    </row>
    <row r="14" ht="42" customHeight="1">
      <c r="A14" s="9" t="inlineStr">
        <is>
          <t>在不增加资金、不加杠杆的前提下，建议今日卖出：光伏EQ01 12,400股、电池老批3,500股（均为100股整数倍），保留公用事业和宽基ETF。预计成交后：现金约64.47万元（高于30万元下限）；电池占比降至24.88%、光伏占比降至9.55%、新能源合计降至34.43%；联动情景损失约23.85万元，占净资产11.98%，四项约束同时达标。本次实现的是账面亏损兑现（约-7.98万元，已扣费），目的是把集中度和尾部损失压回约定预算内，而不是认错离场——保留的电池老批12,500股与今日新批4,000股仍在账内。</t>
        </is>
      </c>
    </row>
    <row r="15" ht="42" customHeight="1">
      <c r="A15" s="9" t="inlineStr"/>
    </row>
    <row r="16" ht="42" customHeight="1">
      <c r="A16" s="18" t="inlineStr">
        <is>
          <t>四、如果坚持保留电池股</t>
        </is>
      </c>
    </row>
    <row r="17" ht="42" customHeight="1">
      <c r="A17" s="9" t="inlineStr">
        <is>
          <t>若完全不卖电池，即使把光伏全部卖出，电池单只占比仍约30.16%，单股25%这一项无法达标；要满足它，必须把单股上限从25%放宽到约30.2%以上。这属于提高风险预算，我们不会默认代您调整，需要您书面确认接受更高集中度，或同意卖出一部分电池。另外，按纪律本轮不新增买入，因此今天不能再补电池股；在约束回到限额内之前，我们也不建议加仓或做T。</t>
        </is>
      </c>
    </row>
    <row r="18" ht="42" customHeight="1">
      <c r="A18" s="9" t="inlineStr"/>
    </row>
    <row r="19" ht="42" customHeight="1">
      <c r="A19" s="18" t="inlineStr">
        <is>
          <t>五、下一交易日（9月9日）安排</t>
        </is>
      </c>
    </row>
    <row r="20" ht="42" customHeight="1">
      <c r="A20" s="9" t="inlineStr">
        <is>
          <t>以上按14:30价测算。若次日新能源继续下跌5%，以调整后持仓为起点重新测算：电池占比约24.05%、新能源约33.28%、联动损失率约11.76%，仍在限额内，无需追加操作。若出现涨跌停、报价失效或未成交，我们不会把测算价当成保证成交价，会在9月9日开盘前先核对实际可卖数量与价格，再按整手数量补足缺口；若届时任一约束触线，再按上述纪律减到限额内。</t>
        </is>
      </c>
    </row>
    <row r="21" ht="42" customHeight="1">
      <c r="A21" s="9" t="inlineStr"/>
    </row>
    <row r="22" ht="42" customHeight="1">
      <c r="A22" s="18" t="inlineStr">
        <is>
          <t>六、说明</t>
        </is>
      </c>
    </row>
    <row r="23" ht="42" customHeight="1">
      <c r="A23" s="9" t="inlineStr">
        <is>
          <t>本方案仅依据今日交接资料与14:30参考价做条件测算，不构成对成交价的保证，也不承诺回本或收益。下单前请以实际涨跌停、可卖数量和盘口为准；我们不代您下单。如需调整上述数量或放宽某项约束，请随时告知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2026-09-18T07:29:01Z</dcterms:created>
  <dcterms:modified xmlns:dcterms="http://purl.org/dc/terms/" xmlns:xsi="http://www.w3.org/2001/XMLSchema-instance" xsi:type="dcterms:W3CDTF">2026-09-18T07:29:01Z</dcterms:modified>
</cp:coreProperties>
</file>