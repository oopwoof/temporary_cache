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决策摘要" sheetId="1" state="visible" r:id="rId1"/>
    <sheet xmlns:r="http://schemas.openxmlformats.org/officeDocument/2006/relationships" name="2-输入与勾稽" sheetId="2" state="visible" r:id="rId2"/>
    <sheet xmlns:r="http://schemas.openxmlformats.org/officeDocument/2006/relationships" name="3-交易日历" sheetId="3" state="visible" r:id="rId3"/>
    <sheet xmlns:r="http://schemas.openxmlformats.org/officeDocument/2006/relationships" name="4-硬约束状态" sheetId="4" state="visible" r:id="rId4"/>
    <sheet xmlns:r="http://schemas.openxmlformats.org/officeDocument/2006/relationships" name="5-风险与相关性" sheetId="5" state="visible" r:id="rId5"/>
    <sheet xmlns:r="http://schemas.openxmlformats.org/officeDocument/2006/relationships" name="6-方案与交易明细" sheetId="6" state="visible" r:id="rId6"/>
    <sheet xmlns:r="http://schemas.openxmlformats.org/officeDocument/2006/relationships" name="7-if-then规则" sheetId="7" state="visible" r:id="rId7"/>
    <sheet xmlns:r="http://schemas.openxmlformats.org/officeDocument/2006/relationships" name="8-假设与缺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0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组合诊断与三个交易日执行计划（审阅时点 2026-09-10 14:20，基准货币人民币）</t>
        </is>
      </c>
    </row>
    <row r="2">
      <c r="A2" t="inlineStr"/>
      <c r="B2" t="inlineStr"/>
    </row>
    <row r="3">
      <c r="A3" s="2" t="inlineStr">
        <is>
          <t>结论项</t>
        </is>
      </c>
      <c r="B3" s="2" t="inlineStr">
        <is>
          <t>内容</t>
        </is>
      </c>
    </row>
    <row r="4">
      <c r="A4" s="3" t="inlineStr">
        <is>
          <t>总资产勾稽</t>
        </is>
      </c>
      <c r="B4" s="3" t="inlineStr">
        <is>
          <t>券商显示1,009,200元；分项重算=现金291,200+持仓718,000=1,009,200，残差0，完全勾稽</t>
        </is>
      </c>
    </row>
    <row r="5">
      <c r="A5" s="3" t="inlineStr">
        <is>
          <t>当前未实现盈亏</t>
        </is>
      </c>
      <c r="B5" s="3" t="inlineStr">
        <is>
          <t>+32,256.20元（A+11,571 / B+35,640 / C-8,102 / D-6,852.80）</t>
        </is>
      </c>
    </row>
    <row r="6">
      <c r="A6" s="3" t="inlineStr">
        <is>
          <t>最紧硬约束</t>
        </is>
      </c>
      <c r="B6" s="3" t="inlineStr">
        <is>
          <t>单一标的A占比39.24%，上限22%，超限17.2个百分点——必须优先压降至22%以内</t>
        </is>
      </c>
    </row>
    <row r="7">
      <c r="A7" s="3" t="inlineStr">
        <is>
          <t>其他超限</t>
        </is>
      </c>
      <c r="B7" s="3" t="inlineStr">
        <is>
          <t>风险资产71.15%&gt;70%；主题-资源39.24%&gt;35%；一周压力损失9.07%&gt;6%；立即可用RMB现金21.80%&lt;25%（含HKD可兑换口径27.27%）</t>
        </is>
      </c>
    </row>
    <row r="8">
      <c r="A8" s="3" t="inlineStr">
        <is>
          <t>首要动作</t>
        </is>
      </c>
      <c r="B8" s="3" t="inlineStr">
        <is>
          <t>今日(9/10)卖出A 3,600股（限价49.30–49.70），并卖D全部5,000份；挂单C 1,000股（跌停，能否成交取决于买盘）</t>
        </is>
      </c>
    </row>
    <row r="9">
      <c r="A9" s="3" t="inlineStr">
        <is>
          <t>最迟行动日</t>
        </is>
      </c>
      <c r="B9" s="3" t="inlineStr">
        <is>
          <t>9/14(周一)完成全部减仓；B复牌方案未披露前不假设B上涨或按120元成交</t>
        </is>
      </c>
    </row>
    <row r="10">
      <c r="A10" s="3" t="inlineStr">
        <is>
          <t>交易后目标</t>
        </is>
      </c>
      <c r="B10" s="3" t="inlineStr">
        <is>
          <t>A权重≈21.6%，风险资产≈43.8%，压力损失≈6.0%（临界），立即可用RMB现金≈45%；外币敞口≈10%</t>
        </is>
      </c>
    </row>
    <row r="11">
      <c r="A11" s="3" t="inlineStr">
        <is>
          <t>非执行声明</t>
        </is>
      </c>
      <c r="B11" s="3" t="inlineStr">
        <is>
          <t>本计划仅为条件化建议，不代客下单，不保证成交价格、收益或止损有效；B停牌、C跌停、D卖HKD需换汇均为执行约束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42" customWidth="1" min="4" max="4"/>
  </cols>
  <sheetData>
    <row r="1">
      <c r="A1" s="1" t="inlineStr">
        <is>
          <t>输入快照（全部来自附件）与勾稽</t>
        </is>
      </c>
    </row>
    <row r="2">
      <c r="A2" s="4" t="inlineStr">
        <is>
          <t>项目</t>
        </is>
      </c>
      <c r="B2" s="4" t="inlineStr">
        <is>
          <t>金额/数值</t>
        </is>
      </c>
      <c r="C2" s="4" t="inlineStr">
        <is>
          <t>来源</t>
        </is>
      </c>
      <c r="D2" s="4" t="inlineStr">
        <is>
          <t>备注</t>
        </is>
      </c>
    </row>
    <row r="3">
      <c r="A3" t="inlineStr">
        <is>
          <t>人民币可用现金</t>
        </is>
      </c>
      <c r="B3" t="n">
        <v>220000</v>
      </c>
      <c r="C3" t="inlineStr">
        <is>
          <t>K01</t>
        </is>
      </c>
      <c r="D3" t="inlineStr">
        <is>
          <t>未冻结</t>
        </is>
      </c>
    </row>
    <row r="4">
      <c r="A4" t="inlineStr">
        <is>
          <t>港币可用现金</t>
        </is>
      </c>
      <c r="B4" t="n">
        <v>55200</v>
      </c>
      <c r="C4" t="inlineStr">
        <is>
          <t>K02</t>
        </is>
      </c>
      <c r="D4" t="inlineStr">
        <is>
          <t>60,000HKD×0.9200</t>
        </is>
      </c>
    </row>
    <row r="5">
      <c r="A5" t="inlineStr">
        <is>
          <t>冻结申购款</t>
        </is>
      </c>
      <c r="B5" t="n">
        <v>16000</v>
      </c>
      <c r="C5" t="inlineStr">
        <is>
          <t>K03</t>
        </is>
      </c>
      <c r="D5" t="inlineStr">
        <is>
          <t>9/12(周六)解冻，下一交易日9/14可用</t>
        </is>
      </c>
    </row>
    <row r="6">
      <c r="A6" t="inlineStr">
        <is>
          <t>现金合计(含冻结)</t>
        </is>
      </c>
      <c r="B6">
        <f>B3+B4+B5</f>
        <v/>
      </c>
      <c r="C6" t="inlineStr">
        <is>
          <t>勾稽</t>
        </is>
      </c>
      <c r="D6" t="inlineStr"/>
    </row>
    <row r="7">
      <c r="A7" t="inlineStr">
        <is>
          <t>A 铜资源股 8000股×49.50</t>
        </is>
      </c>
      <c r="B7" t="n">
        <v>396000</v>
      </c>
      <c r="C7" t="inlineStr">
        <is>
          <t>H01</t>
        </is>
      </c>
      <c r="D7" t="inlineStr">
        <is>
          <t>其中2000股今日买入T+1</t>
        </is>
      </c>
    </row>
    <row r="8">
      <c r="A8" t="inlineStr">
        <is>
          <t>B 光模块股 1800股×120.00</t>
        </is>
      </c>
      <c r="B8" t="n">
        <v>216000</v>
      </c>
      <c r="C8" t="inlineStr">
        <is>
          <t>H02</t>
        </is>
      </c>
      <c r="D8" t="inlineStr">
        <is>
          <t>9/10停牌，价为9/9收盘</t>
        </is>
      </c>
    </row>
    <row r="9">
      <c r="A9" t="inlineStr">
        <is>
          <t>C 新能源股 1000股×60.00</t>
        </is>
      </c>
      <c r="B9" t="n">
        <v>60000</v>
      </c>
      <c r="C9" t="inlineStr">
        <is>
          <t>H03</t>
        </is>
      </c>
      <c r="D9" t="inlineStr">
        <is>
          <t>今日跌停，14:20无买一挂单</t>
        </is>
      </c>
    </row>
    <row r="10">
      <c r="A10" t="inlineStr">
        <is>
          <t>D 恒生科技ETF 5000份×10HKD×0.92</t>
        </is>
      </c>
      <c r="B10" t="n">
        <v>46000</v>
      </c>
      <c r="C10" t="inlineStr">
        <is>
          <t>H04</t>
        </is>
      </c>
      <c r="D10" t="inlineStr">
        <is>
          <t>跨境ETF</t>
        </is>
      </c>
    </row>
    <row r="11">
      <c r="A11" t="inlineStr">
        <is>
          <t>持仓合计</t>
        </is>
      </c>
      <c r="B11">
        <f>B7+B8+B9+B10</f>
        <v/>
      </c>
      <c r="C11" t="inlineStr">
        <is>
          <t>勾稽</t>
        </is>
      </c>
      <c r="D11" t="inlineStr"/>
    </row>
    <row r="12">
      <c r="A12" t="inlineStr">
        <is>
          <t>计算总资产</t>
        </is>
      </c>
      <c r="B12">
        <f>B6+B11</f>
        <v/>
      </c>
      <c r="C12" t="inlineStr">
        <is>
          <t>勾稽</t>
        </is>
      </c>
      <c r="D12" t="inlineStr"/>
    </row>
    <row r="13">
      <c r="A13" t="inlineStr">
        <is>
          <t>券商显示总资产</t>
        </is>
      </c>
      <c r="B13" t="n">
        <v>1009200</v>
      </c>
      <c r="C13" t="inlineStr">
        <is>
          <t>K04</t>
        </is>
      </c>
      <c r="D13" t="inlineStr"/>
    </row>
    <row r="14">
      <c r="A14" t="inlineStr">
        <is>
          <t>勾稽残差</t>
        </is>
      </c>
      <c r="B14">
        <f>B12-B13</f>
        <v/>
      </c>
      <c r="C14" t="inlineStr">
        <is>
          <t>应=0</t>
        </is>
      </c>
      <c r="D14" t="inlineStr"/>
    </row>
    <row r="16">
      <c r="A16" s="5" t="inlineStr">
        <is>
          <t>重建成本与未实现盈亏（弃用D01低置信OCR、D02客户口述49.25）</t>
        </is>
      </c>
    </row>
    <row r="17">
      <c r="A17" s="4" t="inlineStr">
        <is>
          <t>标的</t>
        </is>
      </c>
      <c r="B17" s="4" t="inlineStr">
        <is>
          <t>批次明细</t>
        </is>
      </c>
      <c r="C17" s="4" t="inlineStr">
        <is>
          <t>重建总成本(元)</t>
        </is>
      </c>
      <c r="D17" s="4" t="inlineStr">
        <is>
          <t>调整后均价</t>
        </is>
      </c>
      <c r="E17" s="4" t="inlineStr">
        <is>
          <t>现价RMB</t>
        </is>
      </c>
      <c r="F17" s="4" t="inlineStr">
        <is>
          <t>未实现盈亏</t>
        </is>
      </c>
    </row>
    <row r="18">
      <c r="A18" t="inlineStr">
        <is>
          <t>A</t>
        </is>
      </c>
      <c r="B18" t="inlineStr">
        <is>
          <t>L01 4000@45+225; L02 2000@50+100; L03 2000@52+104</t>
        </is>
      </c>
      <c r="C18" t="n">
        <v>384429</v>
      </c>
      <c r="D18" t="n">
        <v>48.0536</v>
      </c>
      <c r="E18" t="n">
        <v>49.5</v>
      </c>
      <c r="F18" t="n">
        <v>11571</v>
      </c>
    </row>
    <row r="19">
      <c r="A19" t="inlineStr">
        <is>
          <t>B</t>
        </is>
      </c>
      <c r="B19" t="inlineStr">
        <is>
          <t>L04 1200@150+360；CA01 10转5增600股，总成本不变</t>
        </is>
      </c>
      <c r="C19" t="n">
        <v>180360</v>
      </c>
      <c r="D19" t="n">
        <v>100.2</v>
      </c>
      <c r="E19" t="n">
        <v>120</v>
      </c>
      <c r="F19" t="n">
        <v>35640</v>
      </c>
    </row>
    <row r="20">
      <c r="A20" t="inlineStr">
        <is>
          <t>C</t>
        </is>
      </c>
      <c r="B20" t="inlineStr">
        <is>
          <t>L05 1000@68+102</t>
        </is>
      </c>
      <c r="C20" t="n">
        <v>68102</v>
      </c>
      <c r="D20" t="n">
        <v>68.102</v>
      </c>
      <c r="E20" t="n">
        <v>60</v>
      </c>
      <c r="F20" t="n">
        <v>-8102</v>
      </c>
    </row>
    <row r="21">
      <c r="A21" t="inlineStr">
        <is>
          <t>D</t>
        </is>
      </c>
      <c r="B21" t="inlineStr">
        <is>
          <t>L06 3000份@11.60HKD@0.94; L07 2000份@10.80HKD@0.93（费用按成交日汇率折RMB）</t>
        </is>
      </c>
      <c r="C21" t="n">
        <v>52852.8</v>
      </c>
      <c r="D21" t="n">
        <v>10.5706</v>
      </c>
      <c r="E21" t="n">
        <v>9.199999999999999</v>
      </c>
      <c r="F21" t="n">
        <v>-6852.8</v>
      </c>
    </row>
    <row r="22">
      <c r="A22" t="inlineStr">
        <is>
          <t>合计</t>
        </is>
      </c>
      <c r="C22">
        <f>SUM(C18:C21)</f>
        <v/>
      </c>
      <c r="F22">
        <f>SUM(F18:F21)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40" customWidth="1" min="4" max="4"/>
    <col width="46" customWidth="1" min="5" max="5"/>
  </cols>
  <sheetData>
    <row r="1">
      <c r="A1" s="4" t="inlineStr">
        <is>
          <t>日历日</t>
        </is>
      </c>
      <c r="B1" s="4" t="inlineStr">
        <is>
          <t>星期</t>
        </is>
      </c>
      <c r="C1" s="4" t="inlineStr">
        <is>
          <t>是否交易日</t>
        </is>
      </c>
      <c r="D1" s="4" t="inlineStr">
        <is>
          <t>可执行时段/资金</t>
        </is>
      </c>
      <c r="E1" s="4" t="inlineStr">
        <is>
          <t>备注</t>
        </is>
      </c>
    </row>
    <row r="2">
      <c r="A2" t="inlineStr">
        <is>
          <t>2026-09-10</t>
        </is>
      </c>
      <c r="B2" t="inlineStr">
        <is>
          <t>四</t>
        </is>
      </c>
      <c r="C2" t="inlineStr">
        <is>
          <t>是</t>
        </is>
      </c>
      <c r="D2" t="inlineStr">
        <is>
          <t>14:20-15:00可下单；B停牌不可成交，C跌停可挂单或不成交</t>
        </is>
      </c>
      <c r="E2" t="inlineStr">
        <is>
          <t>今日；A今日买入2000股T+1；冻结款仍锁定</t>
        </is>
      </c>
    </row>
    <row r="3">
      <c r="A3" t="inlineStr">
        <is>
          <t>2026-09-11</t>
        </is>
      </c>
      <c r="B3" t="inlineStr">
        <is>
          <t>五</t>
        </is>
      </c>
      <c r="C3" t="inlineStr">
        <is>
          <t>是</t>
        </is>
      </c>
      <c r="D3" t="inlineStr">
        <is>
          <t>全天交易时段</t>
        </is>
      </c>
      <c r="E3" t="inlineStr">
        <is>
          <t>A今日买入股解禁可卖；B可能复牌(公告≤5个交易日)</t>
        </is>
      </c>
    </row>
    <row r="4">
      <c r="A4" t="inlineStr">
        <is>
          <t>2026-09-12</t>
        </is>
      </c>
      <c r="B4" t="inlineStr">
        <is>
          <t>六</t>
        </is>
      </c>
      <c r="C4" t="inlineStr">
        <is>
          <t>否</t>
        </is>
      </c>
      <c r="D4" t="inlineStr">
        <is>
          <t>—</t>
        </is>
      </c>
      <c r="E4" t="inlineStr">
        <is>
          <t>冻结申购款名义解冻日，但非交易日，资金顺延</t>
        </is>
      </c>
    </row>
    <row r="5">
      <c r="A5" t="inlineStr">
        <is>
          <t>2026-09-13</t>
        </is>
      </c>
      <c r="B5" t="inlineStr">
        <is>
          <t>日</t>
        </is>
      </c>
      <c r="C5" t="inlineStr">
        <is>
          <t>否</t>
        </is>
      </c>
      <c r="D5" t="inlineStr">
        <is>
          <t>—</t>
        </is>
      </c>
      <c r="E5" t="inlineStr">
        <is>
          <t>周末</t>
        </is>
      </c>
    </row>
    <row r="6">
      <c r="A6" t="inlineStr">
        <is>
          <t>2026-09-14</t>
        </is>
      </c>
      <c r="B6" t="inlineStr">
        <is>
          <t>一</t>
        </is>
      </c>
      <c r="C6" t="inlineStr">
        <is>
          <t>是</t>
        </is>
      </c>
      <c r="D6" t="inlineStr">
        <is>
          <t>全天交易；冻结款可用</t>
        </is>
      </c>
      <c r="E6" t="inlineStr">
        <is>
          <t>第三个交易日；D卖出HKD已可换汇（换汇完成前不可买A股）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40" customWidth="1" min="8" max="8"/>
  </cols>
  <sheetData>
    <row r="1">
      <c r="A1" s="4" t="inlineStr">
        <is>
          <t>约束名</t>
        </is>
      </c>
      <c r="B1" s="4" t="inlineStr">
        <is>
          <t>阈值</t>
        </is>
      </c>
      <c r="C1" s="4" t="inlineStr">
        <is>
          <t>未调整值</t>
        </is>
      </c>
      <c r="D1" s="4" t="inlineStr">
        <is>
          <t>主方案后</t>
        </is>
      </c>
      <c r="E1" s="4" t="inlineStr">
        <is>
          <t>偏好(保A最多)</t>
        </is>
      </c>
      <c r="F1" s="4" t="inlineStr">
        <is>
          <t>判定</t>
        </is>
      </c>
      <c r="G1" s="4" t="inlineStr">
        <is>
          <t>绑定/已消除</t>
        </is>
      </c>
      <c r="H1" s="4" t="inlineStr">
        <is>
          <t>达标动作</t>
        </is>
      </c>
    </row>
    <row r="2">
      <c r="A2" s="6" t="inlineStr">
        <is>
          <t>风险资产仓位</t>
        </is>
      </c>
      <c r="B2" s="6" t="inlineStr">
        <is>
          <t>≤70%</t>
        </is>
      </c>
      <c r="C2" s="6" t="inlineStr">
        <is>
          <t>71.15%</t>
        </is>
      </c>
      <c r="D2" s="6" t="inlineStr">
        <is>
          <t>≈43.8%</t>
        </is>
      </c>
      <c r="E2" s="6" t="inlineStr">
        <is>
          <t>≈43.8%</t>
        </is>
      </c>
      <c r="F2" s="7" t="inlineStr">
        <is>
          <t>达标</t>
        </is>
      </c>
      <c r="G2" s="6" t="inlineStr">
        <is>
          <t>已消除</t>
        </is>
      </c>
      <c r="H2" s="6" t="inlineStr">
        <is>
          <t>R1卖A3600后远低于线</t>
        </is>
      </c>
    </row>
    <row r="3">
      <c r="A3" s="6" t="inlineStr">
        <is>
          <t>单一标的A</t>
        </is>
      </c>
      <c r="B3" s="6" t="inlineStr">
        <is>
          <t>≤22%</t>
        </is>
      </c>
      <c r="C3" s="6" t="inlineStr">
        <is>
          <t>39.24%</t>
        </is>
      </c>
      <c r="D3" s="6" t="inlineStr">
        <is>
          <t>21.59%</t>
        </is>
      </c>
      <c r="E3" s="6" t="inlineStr">
        <is>
          <t>21.59%</t>
        </is>
      </c>
      <c r="F3" s="7" t="inlineStr">
        <is>
          <t>达标</t>
        </is>
      </c>
      <c r="G3" s="6" t="inlineStr">
        <is>
          <t>绑定(本方案)</t>
        </is>
      </c>
      <c r="H3" s="6" t="inlineStr">
        <is>
          <t>R1卖A3600；少1手(3500)则22.08%仍超限</t>
        </is>
      </c>
    </row>
    <row r="4">
      <c r="A4" s="6" t="inlineStr">
        <is>
          <t>单一标的B</t>
        </is>
      </c>
      <c r="B4" s="6" t="inlineStr">
        <is>
          <t>≤22%</t>
        </is>
      </c>
      <c r="C4" s="6" t="inlineStr">
        <is>
          <t>21.40%</t>
        </is>
      </c>
      <c r="D4" s="6" t="inlineStr">
        <is>
          <t>21.41%</t>
        </is>
      </c>
      <c r="E4" s="6" t="inlineStr">
        <is>
          <t>21.41%</t>
        </is>
      </c>
      <c r="F4" s="6" t="inlineStr">
        <is>
          <t>临界通过</t>
        </is>
      </c>
      <c r="G4" s="6" t="inlineStr">
        <is>
          <t>监控</t>
        </is>
      </c>
      <c r="H4" s="6" t="inlineStr">
        <is>
          <t>停牌无法交易；复牌后若&gt;22%触发R6</t>
        </is>
      </c>
    </row>
    <row r="5">
      <c r="A5" s="6" t="inlineStr">
        <is>
          <t>主题-资源(A)</t>
        </is>
      </c>
      <c r="B5" s="6" t="inlineStr">
        <is>
          <t>≤35%</t>
        </is>
      </c>
      <c r="C5" s="6" t="inlineStr">
        <is>
          <t>39.24%</t>
        </is>
      </c>
      <c r="D5" s="6" t="inlineStr">
        <is>
          <t>21.59%</t>
        </is>
      </c>
      <c r="E5" s="6" t="inlineStr">
        <is>
          <t>21.59%</t>
        </is>
      </c>
      <c r="F5" s="7" t="inlineStr">
        <is>
          <t>达标</t>
        </is>
      </c>
      <c r="G5" s="6" t="inlineStr">
        <is>
          <t>已消除</t>
        </is>
      </c>
      <c r="H5" s="6" t="inlineStr">
        <is>
          <t>随R1消除</t>
        </is>
      </c>
    </row>
    <row r="6">
      <c r="A6" s="6" t="inlineStr">
        <is>
          <t>主题-成长(B+C+D)</t>
        </is>
      </c>
      <c r="B6" s="6" t="inlineStr">
        <is>
          <t>≤35%</t>
        </is>
      </c>
      <c r="C6" s="6" t="inlineStr">
        <is>
          <t>31.91%</t>
        </is>
      </c>
      <c r="D6" s="6" t="inlineStr">
        <is>
          <t>21.41%</t>
        </is>
      </c>
      <c r="E6" s="6" t="inlineStr">
        <is>
          <t>21.41%</t>
        </is>
      </c>
      <c r="F6" s="7" t="inlineStr">
        <is>
          <t>达标</t>
        </is>
      </c>
      <c r="G6" s="6" t="inlineStr">
        <is>
          <t>—</t>
        </is>
      </c>
      <c r="H6" s="6" t="inlineStr"/>
    </row>
    <row r="7">
      <c r="A7" s="6" t="inlineStr">
        <is>
          <t>未对冲外币敞口</t>
        </is>
      </c>
      <c r="B7" s="6" t="inlineStr">
        <is>
          <t>≤25%</t>
        </is>
      </c>
      <c r="C7" s="6" t="inlineStr">
        <is>
          <t>10.03%</t>
        </is>
      </c>
      <c r="D7" s="6" t="inlineStr">
        <is>
          <t>≈10.0%</t>
        </is>
      </c>
      <c r="E7" s="6" t="inlineStr">
        <is>
          <t>≈10.0%</t>
        </is>
      </c>
      <c r="F7" s="7" t="inlineStr">
        <is>
          <t>达标</t>
        </is>
      </c>
      <c r="G7" s="6" t="inlineStr">
        <is>
          <t>—</t>
        </is>
      </c>
      <c r="H7" s="6" t="inlineStr">
        <is>
          <t>卖D后HKD现金增加，敞口仍远低于线</t>
        </is>
      </c>
    </row>
    <row r="8">
      <c r="A8" s="6" t="inlineStr">
        <is>
          <t>立即可用RMB现金</t>
        </is>
      </c>
      <c r="B8" s="6" t="inlineStr">
        <is>
          <t>≥25%</t>
        </is>
      </c>
      <c r="C8" s="6" t="inlineStr">
        <is>
          <t>21.80%</t>
        </is>
      </c>
      <c r="D8" s="6" t="inlineStr">
        <is>
          <t>≈45.4%</t>
        </is>
      </c>
      <c r="E8" s="6" t="inlineStr">
        <is>
          <t>≈45.4%</t>
        </is>
      </c>
      <c r="F8" s="7" t="inlineStr">
        <is>
          <t>达标</t>
        </is>
      </c>
      <c r="G8" s="6" t="inlineStr">
        <is>
          <t>已消除</t>
        </is>
      </c>
      <c r="H8" s="6" t="inlineStr">
        <is>
          <t>R1/R3回款为RMB（D回款为HKD需换汇）</t>
        </is>
      </c>
    </row>
    <row r="9">
      <c r="A9" s="6" t="inlineStr">
        <is>
          <t>含HKD可兑换现金</t>
        </is>
      </c>
      <c r="B9" s="6" t="inlineStr">
        <is>
          <t>≥25%</t>
        </is>
      </c>
      <c r="C9" s="6" t="inlineStr">
        <is>
          <t>27.27%</t>
        </is>
      </c>
      <c r="D9" s="6" t="inlineStr">
        <is>
          <t>≈45%+</t>
        </is>
      </c>
      <c r="E9" s="6" t="inlineStr">
        <is>
          <t>—</t>
        </is>
      </c>
      <c r="F9" s="7" t="inlineStr">
        <is>
          <t>达标</t>
        </is>
      </c>
      <c r="G9" s="6" t="inlineStr">
        <is>
          <t>—</t>
        </is>
      </c>
      <c r="H9" s="6" t="inlineStr"/>
    </row>
    <row r="10">
      <c r="A10" s="6" t="inlineStr">
        <is>
          <t>一周压力损失</t>
        </is>
      </c>
      <c r="B10" s="6" t="inlineStr">
        <is>
          <t>≤6%</t>
        </is>
      </c>
      <c r="C10" s="6" t="inlineStr">
        <is>
          <t>9.07%</t>
        </is>
      </c>
      <c r="D10" s="6" t="inlineStr">
        <is>
          <t>≈6.00%</t>
        </is>
      </c>
      <c r="E10" s="6" t="inlineStr">
        <is>
          <t>≈5.95%(后手)</t>
        </is>
      </c>
      <c r="F10" s="7" t="inlineStr">
        <is>
          <t>临界达标</t>
        </is>
      </c>
      <c r="G10" s="6" t="inlineStr">
        <is>
          <t>绑定(本方案)</t>
        </is>
      </c>
      <c r="H10" s="6" t="inlineStr">
        <is>
          <t>R1+R2+R3；C不成交则R5追加卖A1100</t>
        </is>
      </c>
    </row>
    <row r="11">
      <c r="A11" s="6" t="inlineStr">
        <is>
          <t>组合年化波动率</t>
        </is>
      </c>
      <c r="B11" s="6" t="inlineStr">
        <is>
          <t>无显式上限</t>
        </is>
      </c>
      <c r="C11" s="6" t="inlineStr">
        <is>
          <t>25.65%</t>
        </is>
      </c>
      <c r="D11" s="6" t="inlineStr">
        <is>
          <t>≈20%</t>
        </is>
      </c>
      <c r="E11" s="6" t="inlineStr">
        <is>
          <t>≈19%</t>
        </is>
      </c>
      <c r="F11" s="6" t="inlineStr">
        <is>
          <t>参考</t>
        </is>
      </c>
      <c r="G11" s="6" t="inlineStr">
        <is>
          <t>—</t>
        </is>
      </c>
      <c r="H11" s="6" t="inlineStr">
        <is>
          <t>A风险贡献53.5%、B33.8%为主要来源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风险贡献与相关性聚集（年化；现金零波动）</t>
        </is>
      </c>
    </row>
    <row r="2">
      <c r="A2" s="4" t="inlineStr">
        <is>
          <t>标的</t>
        </is>
      </c>
      <c r="B2" s="4" t="inlineStr">
        <is>
          <t>权重</t>
        </is>
      </c>
      <c r="C2" s="4" t="inlineStr">
        <is>
          <t>年化波动率</t>
        </is>
      </c>
      <c r="D2" s="4" t="inlineStr">
        <is>
          <t>风险贡献%</t>
        </is>
      </c>
      <c r="E2" s="4" t="inlineStr">
        <is>
          <t>技术状态(as-of)</t>
        </is>
      </c>
    </row>
    <row r="3">
      <c r="A3" t="inlineStr">
        <is>
          <t>A 铜资源</t>
        </is>
      </c>
      <c r="B3" s="8" t="n">
        <v>0.3924</v>
      </c>
      <c r="C3" s="9" t="n">
        <v>0.42</v>
      </c>
      <c r="D3" s="8" t="n">
        <v>0.5353</v>
      </c>
      <c r="E3" t="inlineStr">
        <is>
          <t>价49.50&gt;MA20 48&gt;MA60 44；RSI63；量1.3倍；支撑46.80/压力52</t>
        </is>
      </c>
    </row>
    <row r="4">
      <c r="A4" t="inlineStr">
        <is>
          <t>B 光模块</t>
        </is>
      </c>
      <c r="B4" s="8" t="n">
        <v>0.214</v>
      </c>
      <c r="C4" s="9" t="n">
        <v>0.55</v>
      </c>
      <c r="D4" s="8" t="n">
        <v>0.3381</v>
      </c>
      <c r="E4" t="inlineStr">
        <is>
          <t>停牌前收120；MA20 126上方受压、MA60 110支撑；RSI48；复牌价不可知</t>
        </is>
      </c>
    </row>
    <row r="5">
      <c r="A5" t="inlineStr">
        <is>
          <t>C 新能源</t>
        </is>
      </c>
      <c r="B5" s="8" t="n">
        <v>0.0595</v>
      </c>
      <c r="C5" s="9" t="n">
        <v>0.48</v>
      </c>
      <c r="D5" s="8" t="n">
        <v>0.082</v>
      </c>
      <c r="E5" t="inlineStr">
        <is>
          <t>价60跌停&lt;MA20 65&lt;MA60 72；RSI27；连续两日放量下跌；支撑60</t>
        </is>
      </c>
    </row>
    <row r="6">
      <c r="A6" t="inlineStr">
        <is>
          <t>D 恒生科技ETF</t>
        </is>
      </c>
      <c r="B6" s="8" t="n">
        <v>0.0456</v>
      </c>
      <c r="C6" s="9" t="n">
        <v>0.32</v>
      </c>
      <c r="D6" s="8" t="n">
        <v>0.0446</v>
      </c>
      <c r="E6" t="inlineStr">
        <is>
          <t>价10&lt;MA20 10.4&lt;MA60 10.9；RSI38；支撑9.8/压力10.6</t>
        </is>
      </c>
    </row>
    <row r="8">
      <c r="A8" s="10" t="inlineStr">
        <is>
          <t>相关性聚集：B-C=0.72、C-D=0.68、B-D=0.65，B/C/D成长簇高度同涨同跌；A与该簇相关0.25–0.55，分散作用最强。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0" customWidth="1" min="4" max="4"/>
    <col width="18" customWidth="1" min="5" max="5"/>
    <col width="12" customWidth="1" min="6" max="6"/>
    <col width="10" customWidth="1" min="7" max="7"/>
    <col width="16" customWidth="1" min="8" max="8"/>
    <col width="16" customWidth="1" min="9" max="9"/>
  </cols>
  <sheetData>
    <row r="1">
      <c r="A1" s="1" t="inlineStr">
        <is>
          <t>方案对比与交易明细（费用按0.10%估算；印花税/滑点未提供，见假设清单）</t>
        </is>
      </c>
    </row>
    <row r="2">
      <c r="A2" s="4" t="inlineStr">
        <is>
          <t>方案</t>
        </is>
      </c>
      <c r="B2" s="4" t="inlineStr">
        <is>
          <t>卖A累计</t>
        </is>
      </c>
      <c r="C2" s="4" t="inlineStr">
        <is>
          <t>卖C</t>
        </is>
      </c>
      <c r="D2" s="4" t="inlineStr">
        <is>
          <t>卖D</t>
        </is>
      </c>
      <c r="E2" s="4" t="inlineStr">
        <is>
          <t>A权重</t>
        </is>
      </c>
      <c r="F2" s="4" t="inlineStr">
        <is>
          <t>风险资产%</t>
        </is>
      </c>
      <c r="G2" s="4" t="inlineStr">
        <is>
          <t>压力损失%</t>
        </is>
      </c>
      <c r="H2" s="4" t="inlineStr">
        <is>
          <t>RMB现金%</t>
        </is>
      </c>
      <c r="I2" s="4" t="inlineStr">
        <is>
          <t>执行确定性</t>
        </is>
      </c>
    </row>
    <row r="3">
      <c r="A3" s="11" t="inlineStr">
        <is>
          <t>未调整</t>
        </is>
      </c>
      <c r="B3" s="11" t="n">
        <v>0</v>
      </c>
      <c r="C3" s="11" t="n">
        <v>0</v>
      </c>
      <c r="D3" s="11" t="n">
        <v>0</v>
      </c>
      <c r="E3" s="11" t="inlineStr">
        <is>
          <t>39.24%</t>
        </is>
      </c>
      <c r="F3" s="11" t="inlineStr">
        <is>
          <t>71.15%</t>
        </is>
      </c>
      <c r="G3" s="11" t="inlineStr">
        <is>
          <t>9.07%</t>
        </is>
      </c>
      <c r="H3" s="11" t="inlineStr">
        <is>
          <t>21.80%</t>
        </is>
      </c>
      <c r="I3" s="11" t="inlineStr">
        <is>
          <t>—</t>
        </is>
      </c>
    </row>
    <row r="4">
      <c r="A4" s="11" t="inlineStr">
        <is>
          <t>主方案(9/10)</t>
        </is>
      </c>
      <c r="B4" s="11" t="inlineStr">
        <is>
          <t>3600</t>
        </is>
      </c>
      <c r="C4" s="11" t="inlineStr">
        <is>
          <t>1000(挂)</t>
        </is>
      </c>
      <c r="D4" s="11" t="inlineStr">
        <is>
          <t>5000</t>
        </is>
      </c>
      <c r="E4" s="11" t="inlineStr">
        <is>
          <t>21.59%</t>
        </is>
      </c>
      <c r="F4" s="11" t="inlineStr">
        <is>
          <t>≈43.8%</t>
        </is>
      </c>
      <c r="G4" s="11" t="inlineStr">
        <is>
          <t>≈6.00%</t>
        </is>
      </c>
      <c r="H4" s="11" t="inlineStr">
        <is>
          <t>≈45.4%</t>
        </is>
      </c>
      <c r="I4" s="11" t="inlineStr">
        <is>
          <t>A/D确定；C挂单可能不成交</t>
        </is>
      </c>
    </row>
    <row r="5">
      <c r="A5" s="11" t="inlineStr">
        <is>
          <t>后手(C未成交,9/11追加)</t>
        </is>
      </c>
      <c r="B5" s="11" t="inlineStr">
        <is>
          <t>4700</t>
        </is>
      </c>
      <c r="C5" s="11" t="inlineStr">
        <is>
          <t>0</t>
        </is>
      </c>
      <c r="D5" s="11" t="inlineStr">
        <is>
          <t>5000</t>
        </is>
      </c>
      <c r="E5" s="11" t="inlineStr">
        <is>
          <t>17.17%</t>
        </is>
      </c>
      <c r="F5" s="11" t="inlineStr">
        <is>
          <t>≈43.8%</t>
        </is>
      </c>
      <c r="G5" s="11" t="inlineStr">
        <is>
          <t>≈5.95%</t>
        </is>
      </c>
      <c r="H5" s="11" t="inlineStr">
        <is>
          <t>≈45%</t>
        </is>
      </c>
      <c r="I5" s="11" t="inlineStr">
        <is>
          <t>9/11 T+1批次可用后执行</t>
        </is>
      </c>
    </row>
    <row r="7">
      <c r="A7" s="5" t="inlineStr">
        <is>
          <t>交易明细（主方案）</t>
        </is>
      </c>
    </row>
    <row r="8">
      <c r="A8" s="4" t="inlineStr">
        <is>
          <t>规则</t>
        </is>
      </c>
      <c r="B8" s="4" t="inlineStr">
        <is>
          <t>方向</t>
        </is>
      </c>
      <c r="C8" s="4" t="inlineStr">
        <is>
          <t>标的</t>
        </is>
      </c>
      <c r="D8" s="4" t="inlineStr">
        <is>
          <t>数量</t>
        </is>
      </c>
      <c r="E8" s="4" t="inlineStr">
        <is>
          <t>限价/区间</t>
        </is>
      </c>
      <c r="F8" s="4" t="inlineStr">
        <is>
          <t>成交额</t>
        </is>
      </c>
      <c r="G8" s="4" t="inlineStr">
        <is>
          <t>预估费用</t>
        </is>
      </c>
      <c r="H8" s="4" t="inlineStr">
        <is>
          <t>净回笼RMB</t>
        </is>
      </c>
      <c r="I8" s="4" t="inlineStr">
        <is>
          <t>实现盈亏(扣费后)</t>
        </is>
      </c>
    </row>
    <row r="9">
      <c r="A9" t="inlineStr">
        <is>
          <t>R1</t>
        </is>
      </c>
      <c r="B9" t="inlineStr">
        <is>
          <t>卖</t>
        </is>
      </c>
      <c r="C9" t="inlineStr">
        <is>
          <t>A 铜资源</t>
        </is>
      </c>
      <c r="D9" t="n">
        <v>3600</v>
      </c>
      <c r="E9" t="inlineStr">
        <is>
          <t>49.30–49.70</t>
        </is>
      </c>
      <c r="F9" t="n">
        <v>178200</v>
      </c>
      <c r="G9" t="n">
        <v>178</v>
      </c>
      <c r="H9" t="inlineStr">
        <is>
          <t>≈178,022</t>
        </is>
      </c>
      <c r="I9" t="inlineStr">
        <is>
          <t>≈+5,029</t>
        </is>
      </c>
    </row>
    <row r="10">
      <c r="A10" t="inlineStr">
        <is>
          <t>R2</t>
        </is>
      </c>
      <c r="B10" t="inlineStr">
        <is>
          <t>卖(挂)</t>
        </is>
      </c>
      <c r="C10" t="inlineStr">
        <is>
          <t>C 新能源</t>
        </is>
      </c>
      <c r="D10" t="n">
        <v>1000</v>
      </c>
      <c r="E10" t="inlineStr">
        <is>
          <t>60.00(跌停价)</t>
        </is>
      </c>
      <c r="F10" t="n">
        <v>60000</v>
      </c>
      <c r="G10" t="n">
        <v>60</v>
      </c>
      <c r="H10" t="inlineStr">
        <is>
          <t>≈59,940</t>
        </is>
      </c>
      <c r="I10" t="inlineStr">
        <is>
          <t>≈-8,162</t>
        </is>
      </c>
    </row>
    <row r="11">
      <c r="A11" t="inlineStr">
        <is>
          <t>R3</t>
        </is>
      </c>
      <c r="B11" t="inlineStr">
        <is>
          <t>卖</t>
        </is>
      </c>
      <c r="C11" t="inlineStr">
        <is>
          <t>D 恒生科技ETF</t>
        </is>
      </c>
      <c r="D11" t="n">
        <v>5000</v>
      </c>
      <c r="E11" t="inlineStr">
        <is>
          <t>9.95–10.05 HKD</t>
        </is>
      </c>
      <c r="F11" t="n">
        <v>50000</v>
      </c>
      <c r="G11" t="n">
        <v>50</v>
      </c>
      <c r="H11" t="inlineStr">
        <is>
          <t>HKD回款≈49,950</t>
        </is>
      </c>
      <c r="I11" t="inlineStr">
        <is>
          <t>≈-5,657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34" customWidth="1" min="4" max="4"/>
    <col width="28" customWidth="1" min="5" max="5"/>
    <col width="34" customWidth="1" min="6" max="6"/>
  </cols>
  <sheetData>
    <row r="1">
      <c r="A1" s="1" t="inlineStr">
        <is>
          <t>if→then 交易纪律（不代客下单，不保证成交）</t>
        </is>
      </c>
    </row>
    <row r="2">
      <c r="A2" s="4" t="inlineStr">
        <is>
          <t>规则</t>
        </is>
      </c>
      <c r="B2" s="4" t="inlineStr">
        <is>
          <t>触发条件(阈值+时点)</t>
        </is>
      </c>
      <c r="C2" s="4" t="inlineStr">
        <is>
          <t>方向自检</t>
        </is>
      </c>
      <c r="D2" s="4" t="inlineStr">
        <is>
          <t>动作与数量</t>
        </is>
      </c>
      <c r="E2" s="4" t="inlineStr">
        <is>
          <t>目标/复核</t>
        </is>
      </c>
      <c r="F2" s="4" t="inlineStr">
        <is>
          <t>未成交后手/撤销</t>
        </is>
      </c>
    </row>
    <row r="3">
      <c r="A3" s="6" t="inlineStr">
        <is>
          <t>R1
9/10今日</t>
        </is>
      </c>
      <c r="B3" s="6" t="inlineStr">
        <is>
          <t>若14:20后A报价在49.30–49.70且买盘正常，14:50前挂出</t>
        </is>
      </c>
      <c r="C3" s="6" t="inlineStr">
        <is>
          <t>A下跌会降低其权重，故用价格区间+截止时点触发；A超限必须卖，不依赖涨跌</t>
        </is>
      </c>
      <c r="D3" s="6" t="inlineStr">
        <is>
          <t>卖A 3,600股（累计卖量；从6000股T+1可卖批次出，保留今日买入2000股）；限价49.50附近</t>
        </is>
      </c>
      <c r="E3" s="6" t="inlineStr">
        <is>
          <t>交易后A权重≤22%；现金+≈17.8万；复核单票/风险仓位</t>
        </is>
      </c>
      <c r="F3" s="6" t="inlineStr">
        <is>
          <t>若14:55未成交，撤单改挂买一价；仍不成交则9/11开盘重挂；禁止改价追卖至跌停</t>
        </is>
      </c>
    </row>
    <row r="4">
      <c r="A4" s="6" t="inlineStr">
        <is>
          <t>R2
9/10今日</t>
        </is>
      </c>
      <c r="B4" s="6" t="inlineStr">
        <is>
          <t>若C维持跌停60.00且出现买盘，14:50前挂卖</t>
        </is>
      </c>
      <c r="C4" s="6" t="inlineStr">
        <is>
          <t>C下跌时其权重已降，但压力情景10%冲击仍需降敞口，故挂限价单而非市价</t>
        </is>
      </c>
      <c r="D4" s="6" t="inlineStr">
        <is>
          <t>卖C 1,000股（全部）；挂跌停价60.00</t>
        </is>
      </c>
      <c r="E4" s="6" t="inlineStr">
        <is>
          <t>成交则压力损失再降6,000；未成交不视为已减仓</t>
        </is>
      </c>
      <c r="F4" s="6" t="inlineStr">
        <is>
          <t>无买盘则不成交，收盘转R5；禁止为成交而撤单追价</t>
        </is>
      </c>
    </row>
    <row r="5">
      <c r="A5" s="6" t="inlineStr">
        <is>
          <t>R3
9/10今日</t>
        </is>
      </c>
      <c r="B5" s="6" t="inlineStr">
        <is>
          <t>若D在9.95–10.05 HKD区间，T+0可即时成交</t>
        </is>
      </c>
      <c r="C5" s="6" t="inlineStr">
        <is>
          <t>D下跌也降压力敞口，但T+0流动性好，按区间限价卖</t>
        </is>
      </c>
      <c r="D5" s="6" t="inlineStr">
        <is>
          <t>卖D 5,000份（全部，50个100份单位）</t>
        </is>
      </c>
      <c r="E5" s="6" t="inlineStr">
        <is>
          <t>HKD回款≈5万；RMB敞口下降；复核外币仍&lt;25%</t>
        </is>
      </c>
      <c r="F5" s="6" t="inlineStr">
        <is>
          <t>若价差拉大不成交，改挂买一价；HKD回款换汇前不可买A股</t>
        </is>
      </c>
    </row>
    <row r="6">
      <c r="A6" s="6" t="inlineStr">
        <is>
          <t>R4
9/11周五</t>
        </is>
      </c>
      <c r="B6" s="6" t="inlineStr">
        <is>
          <t>若9/10收盘复核压力损失≤5.8%且A≤22%，则</t>
        </is>
      </c>
      <c r="C6" s="6" t="inlineStr">
        <is>
          <t>条件满足即达标，不新增动作</t>
        </is>
      </c>
      <c r="D6" s="6" t="inlineStr">
        <is>
          <t>持有观察；不买入、不回补、不做T</t>
        </is>
      </c>
      <c r="E6" s="6" t="inlineStr">
        <is>
          <t>监控B复牌价与A/B权重</t>
        </is>
      </c>
      <c r="F6" s="6" t="inlineStr">
        <is>
          <t>—</t>
        </is>
      </c>
    </row>
    <row r="7">
      <c r="A7" s="6" t="inlineStr">
        <is>
          <t>R5
9/11周五</t>
        </is>
      </c>
      <c r="B7" s="6" t="inlineStr">
        <is>
          <t>若R2(C)未成交，且按9/10收盘重算压力损失&gt;6%</t>
        </is>
      </c>
      <c r="C7" s="6" t="inlineStr">
        <is>
          <t>C未成交使成长簇压力敞口仍在，需用流动性好的A补足</t>
        </is>
      </c>
      <c r="D7" s="6" t="inlineStr">
        <is>
          <t>追加卖A 1,100股（9/11起今日买入2000股已T+1可卖）；累计卖A=4,700股</t>
        </is>
      </c>
      <c r="E7" s="6" t="inlineStr">
        <is>
          <t>交易后A余3,300股≈17.2%；压力损失≈5.95%</t>
        </is>
      </c>
      <c r="F7" s="6" t="inlineStr">
        <is>
          <t>若A也无法成交(极端)，当日不强行压价，9/14重估并标记约束仍超限</t>
        </is>
      </c>
    </row>
    <row r="8">
      <c r="A8" s="6" t="inlineStr">
        <is>
          <t>R6
9/14周一</t>
        </is>
      </c>
      <c r="B8" s="6" t="inlineStr">
        <is>
          <t>若B复牌后任一交易日收盘B权重&gt;22%，或A/B较计划偏离&gt;2pp</t>
        </is>
      </c>
      <c r="C8" s="6" t="inlineStr">
        <is>
          <t>复牌上涨会抬高B权重（恶化集中度），用价格/权重触发而非下跌</t>
        </is>
      </c>
      <c r="D8" s="6" t="inlineStr">
        <is>
          <t>按超出22%的金额反解整手，限价减B至≤21%；以复牌首日收盘价为基准只上移不下调</t>
        </is>
      </c>
      <c r="E8" s="6" t="inlineStr">
        <is>
          <t>B权重≤21%；不假设复牌必涨</t>
        </is>
      </c>
      <c r="F8" s="6" t="inlineStr">
        <is>
          <t>复牌首日不集合竞价追卖；连续2日达标后撤销</t>
        </is>
      </c>
    </row>
    <row r="9">
      <c r="A9" s="6" t="inlineStr">
        <is>
          <t>R7 止损/止盈</t>
        </is>
      </c>
      <c r="B9" s="6" t="inlineStr">
        <is>
          <t>若A自计划起历史最高完整收盘价回撤&gt;8%，或C跌破60支撑后放量</t>
        </is>
      </c>
      <c r="C9" s="6" t="inlineStr">
        <is>
          <t>下跌本身改善权重，故用绝对回撤额与成交量触发而非价格点位</t>
        </is>
      </c>
      <c r="D9" s="6" t="inlineStr">
        <is>
          <t>在R1/R5已减仓基础上不再机械加仓；仅复核是否触发组合层面6%压力线</t>
        </is>
      </c>
      <c r="E9" s="6" t="inlineStr">
        <is>
          <t>组合压力损失不超总资产6%</t>
        </is>
      </c>
      <c r="F9" s="6" t="inlineStr">
        <is>
          <t>跌破时禁止摊平；等复核回到限内再评估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32" customWidth="1" min="4" max="4"/>
  </cols>
  <sheetData>
    <row r="1">
      <c r="A1" s="1" t="inlineStr">
        <is>
          <t>假设、冲突取舍与缺失清单</t>
        </is>
      </c>
    </row>
    <row r="2">
      <c r="A2" s="4" t="inlineStr">
        <is>
          <t>条目</t>
        </is>
      </c>
      <c r="B2" s="4" t="inlineStr">
        <is>
          <t>类型</t>
        </is>
      </c>
      <c r="C2" s="4" t="inlineStr">
        <is>
          <t>依据/影响</t>
        </is>
      </c>
      <c r="D2" s="4" t="inlineStr">
        <is>
          <t>补齐后需重算</t>
        </is>
      </c>
    </row>
    <row r="3">
      <c r="A3" s="6" t="inlineStr">
        <is>
          <t>B成本采用成交记录L04+CA01转增，弃用D01 OCR(1200股@150.15,置信62%)</t>
        </is>
      </c>
      <c r="B3" s="6" t="inlineStr">
        <is>
          <t>已确认事实</t>
        </is>
      </c>
      <c r="C3" s="6" t="inlineStr">
        <is>
          <t>OCR62%且疑形成于转增前；材料冲突以成交确认单+公司行动记录为准</t>
        </is>
      </c>
      <c r="D3" s="6" t="inlineStr">
        <is>
          <t>—</t>
        </is>
      </c>
    </row>
    <row r="4">
      <c r="A4" s="6" t="inlineStr">
        <is>
          <t>A成本用L01-L03重建=48.05，弃用D02客户口述49.25</t>
        </is>
      </c>
      <c r="B4" s="6" t="inlineStr">
        <is>
          <t>已确认事实</t>
        </is>
      </c>
      <c r="C4" s="6" t="inlineStr">
        <is>
          <t>口述未经核对</t>
        </is>
      </c>
      <c r="D4" s="6" t="inlineStr">
        <is>
          <t>—</t>
        </is>
      </c>
    </row>
    <row r="5">
      <c r="A5" s="6" t="inlineStr">
        <is>
          <t>卖出费率按0.10%估算（与L02/L03/L06/L07买入费率一致）；印花税/滑点未提供</t>
        </is>
      </c>
      <c r="B5" s="6" t="inlineStr">
        <is>
          <t>合理推断</t>
        </is>
      </c>
      <c r="C5" s="6" t="inlineStr">
        <is>
          <t>D03明确未提供税费个性化规则；整手结论对±0.05%费率不敏感</t>
        </is>
      </c>
      <c r="D5" s="6" t="inlineStr">
        <is>
          <t>取得费率表后重算净回笼与实现盈亏</t>
        </is>
      </c>
    </row>
    <row r="6">
      <c r="A6" s="6" t="inlineStr">
        <is>
          <t>D的HKD价格-8%与汇率-2%复合作用于RMB市值</t>
        </is>
      </c>
      <c r="B6" s="6" t="inlineStr">
        <is>
          <t>已确认事实</t>
        </is>
      </c>
      <c r="C6" s="6" t="inlineStr">
        <is>
          <t>S01同时给定两项冲击</t>
        </is>
      </c>
      <c r="D6" s="6" t="inlineStr">
        <is>
          <t>—</t>
        </is>
      </c>
    </row>
    <row r="7">
      <c r="A7" s="6" t="inlineStr">
        <is>
          <t>主题划分：资源=A单；成长=B+C+D</t>
        </is>
      </c>
      <c r="B7" s="6" t="inlineStr">
        <is>
          <t>合理推断</t>
        </is>
      </c>
      <c r="C7" s="6" t="inlineStr">
        <is>
          <t>材料未显式定义主题边界</t>
        </is>
      </c>
      <c r="D7" s="6" t="inlineStr">
        <is>
          <t>客户确认主题口径后重算主题权重</t>
        </is>
      </c>
    </row>
    <row r="8">
      <c r="A8" s="6" t="inlineStr">
        <is>
          <t>B停牌期间按9/9收盘120计入市值，但标不可成交</t>
        </is>
      </c>
      <c r="B8" s="6" t="inlineStr">
        <is>
          <t>已确认事实</t>
        </is>
      </c>
      <c r="C8" s="6" t="inlineStr">
        <is>
          <t>T02/T03；不得按120假设可成交</t>
        </is>
      </c>
      <c r="D8" s="6" t="inlineStr">
        <is>
          <t>复牌取得真实成交价后重算权重与盈亏</t>
        </is>
      </c>
    </row>
    <row r="9">
      <c r="A9" s="6" t="inlineStr">
        <is>
          <t>C跌停14:20无买盘，R2能否成交未知</t>
        </is>
      </c>
      <c r="B9" s="6" t="inlineStr">
        <is>
          <t>已确认事实</t>
        </is>
      </c>
      <c r="C9" s="6" t="inlineStr">
        <is>
          <t>H03/T03</t>
        </is>
      </c>
      <c r="D9" s="6" t="inlineStr">
        <is>
          <t>以成交确认与否走R4/R5分支</t>
        </is>
      </c>
    </row>
    <row r="10">
      <c r="A10" s="6" t="inlineStr">
        <is>
          <t>未提供B复牌方案、买卖盘深度、资金用途、其他账户负债</t>
        </is>
      </c>
      <c r="B10" s="6" t="inlineStr">
        <is>
          <t>仍缺证据(D03)</t>
        </is>
      </c>
      <c r="C10" s="6" t="inlineStr">
        <is>
          <t>影响复牌后B的减仓时机判断</t>
        </is>
      </c>
      <c r="D10" s="6" t="inlineStr">
        <is>
          <t>取得后更新R6</t>
        </is>
      </c>
    </row>
    <row r="11">
      <c r="A11" s="6" t="inlineStr">
        <is>
          <t>冻结16,000元9/12名义解冻，顺延至9/14可用</t>
        </is>
      </c>
      <c r="B11" s="6" t="inlineStr">
        <is>
          <t>合理推断</t>
        </is>
      </c>
      <c r="C11" s="6" t="inlineStr">
        <is>
          <t>周六非交易日</t>
        </is>
      </c>
      <c r="D11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2026-09-18T07:51:45Z</dcterms:created>
  <dcterms:modified xmlns:dcterms="http://purl.org/dc/terms/" xmlns:xsi="http://www.w3.org/2001/XMLSchema-instance" xsi:type="dcterms:W3CDTF">2026-09-18T07:51:45Z</dcterms:modified>
</cp:coreProperties>
</file>