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快照" sheetId="1" state="visible" r:id="rId1"/>
    <sheet xmlns:r="http://schemas.openxmlformats.org/officeDocument/2006/relationships" name="账户核对" sheetId="2" state="visible" r:id="rId2"/>
    <sheet xmlns:r="http://schemas.openxmlformats.org/officeDocument/2006/relationships" name="调整与情景测算" sheetId="3" state="visible" r:id="rId3"/>
    <sheet xmlns:r="http://schemas.openxmlformats.org/officeDocument/2006/relationships" name="交易日历与规则" sheetId="4" state="visible" r:id="rId4"/>
    <sheet xmlns:r="http://schemas.openxmlformats.org/officeDocument/2006/relationships" name="客户沟通说明" sheetId="5" state="visible" r:id="rId5"/>
    <sheet xmlns:r="http://schemas.openxmlformats.org/officeDocument/2006/relationships" name="假设与缺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1F3864"/>
      <sz val="11"/>
    </font>
    <font>
      <b val="1"/>
      <color rgb="00FFFFFF"/>
      <sz val="11"/>
    </font>
    <font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3" fontId="0" fillId="0" borderId="1" pivotButton="0" quotePrefix="0" xfId="0"/>
    <xf numFmtId="0" fontId="0" fillId="0" borderId="0" applyAlignment="1" pivotButton="0" quotePrefix="0" xfId="0">
      <alignment horizontal="left" vertical="center" wrapText="1"/>
    </xf>
    <xf numFmtId="1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  <col width="12" customWidth="1" min="8" max="8"/>
  </cols>
  <sheetData>
    <row r="1">
      <c r="A1" s="1" t="inlineStr">
        <is>
          <t>集中持仓复核 — 输入快照（黄色单元格为可改输入；其余工作表公式引用本表）</t>
        </is>
      </c>
    </row>
    <row r="3">
      <c r="A3" s="2" t="inlineStr">
        <is>
          <t>账户与费率参数</t>
        </is>
      </c>
    </row>
    <row r="4">
      <c r="A4" s="3" t="inlineStr">
        <is>
          <t>复核时点</t>
        </is>
      </c>
      <c r="B4" s="4" t="inlineStr">
        <is>
          <t>2026-09-08 14:30（周二，交易日）</t>
        </is>
      </c>
    </row>
    <row r="5">
      <c r="A5" s="3" t="inlineStr">
        <is>
          <t>13:00汇总页总资产</t>
        </is>
      </c>
      <c r="B5" s="4" t="n">
        <v>2030000</v>
      </c>
    </row>
    <row r="6">
      <c r="A6" s="3" t="inlineStr">
        <is>
          <t>13:00现金</t>
        </is>
      </c>
      <c r="B6" s="4" t="n">
        <v>230000</v>
      </c>
    </row>
    <row r="7">
      <c r="A7" s="3" t="inlineStr">
        <is>
          <t>14:30现金（未变）</t>
        </is>
      </c>
      <c r="B7" s="4" t="n">
        <v>230000</v>
      </c>
    </row>
    <row r="8">
      <c r="A8" s="3" t="inlineStr">
        <is>
          <t>调整后现金下限</t>
        </is>
      </c>
      <c r="B8" s="4" t="n">
        <v>300000</v>
      </c>
    </row>
    <row r="9">
      <c r="A9" s="3" t="inlineStr">
        <is>
          <t>单只股票权重上限</t>
        </is>
      </c>
      <c r="B9" s="4" t="n">
        <v>0.25</v>
      </c>
    </row>
    <row r="10">
      <c r="A10" s="3" t="inlineStr">
        <is>
          <t>新能源(光伏+电池)合计上限</t>
        </is>
      </c>
      <c r="B10" s="4" t="n">
        <v>0.45</v>
      </c>
    </row>
    <row r="11">
      <c r="A11" s="3" t="inlineStr">
        <is>
          <t>联动情景损失率上限</t>
        </is>
      </c>
      <c r="B11" s="4" t="n">
        <v>0.12</v>
      </c>
    </row>
    <row r="12">
      <c r="A12" s="3" t="inlineStr">
        <is>
          <t>股票卖出综合费率</t>
        </is>
      </c>
      <c r="B12" s="4" t="n">
        <v>0.0008</v>
      </c>
    </row>
    <row r="13">
      <c r="A13" s="3" t="inlineStr">
        <is>
          <t>ETF卖出综合费率</t>
        </is>
      </c>
      <c r="B13" s="4" t="n">
        <v>0.0003</v>
      </c>
    </row>
    <row r="14">
      <c r="A14" s="3" t="inlineStr">
        <is>
          <t>每笔最低佣金(元)</t>
        </is>
      </c>
      <c r="B14" s="4" t="n">
        <v>5</v>
      </c>
    </row>
    <row r="16">
      <c r="A16" s="2" t="inlineStr">
        <is>
          <t>持仓批次（数量与成本来自附件；14:30买一价为测算基准价）</t>
        </is>
      </c>
    </row>
    <row r="17">
      <c r="A17" s="5" t="inlineStr">
        <is>
          <t>代号</t>
        </is>
      </c>
      <c r="B17" s="5" t="inlineStr">
        <is>
          <t>资产</t>
        </is>
      </c>
      <c r="C17" s="5" t="inlineStr">
        <is>
          <t>总数量(股/份)</t>
        </is>
      </c>
      <c r="D17" s="5" t="inlineStr">
        <is>
          <t>批次总成本(元)</t>
        </is>
      </c>
      <c r="E17" s="5" t="inlineStr">
        <is>
          <t>今日可卖(股/份)</t>
        </is>
      </c>
      <c r="F17" s="5" t="inlineStr">
        <is>
          <t>13:00价</t>
        </is>
      </c>
      <c r="G17" s="5" t="inlineStr">
        <is>
          <t>14:30买一价</t>
        </is>
      </c>
      <c r="H17" s="5" t="inlineStr">
        <is>
          <t>成本单价(元)</t>
        </is>
      </c>
    </row>
    <row r="18">
      <c r="A18" s="3" t="inlineStr">
        <is>
          <t>EQ01</t>
        </is>
      </c>
      <c r="B18" s="3" t="inlineStr">
        <is>
          <t>光伏设备</t>
        </is>
      </c>
      <c r="C18" s="3" t="n">
        <v>20000</v>
      </c>
      <c r="D18" s="3" t="n">
        <v>600000</v>
      </c>
      <c r="E18" s="3" t="n">
        <v>20000</v>
      </c>
      <c r="F18" s="3" t="n">
        <v>26</v>
      </c>
      <c r="G18" s="3" t="n">
        <v>25</v>
      </c>
      <c r="H18" s="3">
        <f>D18/C18</f>
        <v/>
      </c>
    </row>
    <row r="19">
      <c r="A19" s="3" t="inlineStr">
        <is>
          <t>EQ02</t>
        </is>
      </c>
      <c r="B19" s="3" t="inlineStr">
        <is>
          <t>电池制造·老批次(今日可卖)</t>
        </is>
      </c>
      <c r="C19" s="3" t="n">
        <v>16000</v>
      </c>
      <c r="D19" s="3" t="n">
        <v>560000</v>
      </c>
      <c r="E19" s="3" t="n">
        <v>16000</v>
      </c>
      <c r="F19" s="3" t="n">
        <v>31</v>
      </c>
      <c r="G19" s="3" t="n">
        <v>30</v>
      </c>
      <c r="H19" s="3">
        <f>D19/C19</f>
        <v/>
      </c>
    </row>
    <row r="20">
      <c r="A20" s="3" t="inlineStr">
        <is>
          <t>EQ02</t>
        </is>
      </c>
      <c r="B20" s="3" t="inlineStr">
        <is>
          <t>电池制造·今日新批次(今日不可卖)</t>
        </is>
      </c>
      <c r="C20" s="3" t="n">
        <v>4000</v>
      </c>
      <c r="D20" s="3" t="n">
        <v>122000</v>
      </c>
      <c r="E20" s="3" t="n">
        <v>0</v>
      </c>
      <c r="F20" s="3" t="n">
        <v>31</v>
      </c>
      <c r="G20" s="3" t="n">
        <v>30</v>
      </c>
      <c r="H20" s="3">
        <f>D20/C20</f>
        <v/>
      </c>
    </row>
    <row r="21">
      <c r="A21" s="3" t="inlineStr">
        <is>
          <t>EQ03</t>
        </is>
      </c>
      <c r="B21" s="3" t="inlineStr">
        <is>
          <t>公用事业</t>
        </is>
      </c>
      <c r="C21" s="3" t="n">
        <v>30000</v>
      </c>
      <c r="D21" s="3" t="n">
        <v>240000</v>
      </c>
      <c r="E21" s="3" t="n">
        <v>30000</v>
      </c>
      <c r="F21" s="3" t="n">
        <v>10</v>
      </c>
      <c r="G21" s="3" t="n">
        <v>10</v>
      </c>
      <c r="H21" s="3">
        <f>D21/C21</f>
        <v/>
      </c>
    </row>
    <row r="22">
      <c r="A22" s="3" t="inlineStr">
        <is>
          <t>ETF01</t>
        </is>
      </c>
      <c r="B22" s="3" t="inlineStr">
        <is>
          <t>A股宽基ETF</t>
        </is>
      </c>
      <c r="C22" s="3" t="n">
        <v>120000</v>
      </c>
      <c r="D22" s="3" t="n">
        <v>336000</v>
      </c>
      <c r="E22" s="3" t="n">
        <v>120000</v>
      </c>
      <c r="F22" s="3" t="n">
        <v>3</v>
      </c>
      <c r="G22" s="3" t="n">
        <v>3</v>
      </c>
      <c r="H22" s="3">
        <f>D22/C22</f>
        <v/>
      </c>
    </row>
    <row r="24">
      <c r="A24" s="2" t="inlineStr">
        <is>
          <t>联动情景跌幅（附件口径，现金不受冲击）</t>
        </is>
      </c>
    </row>
    <row r="25">
      <c r="A25" s="3" t="inlineStr">
        <is>
          <t>光伏/电池同时下跌</t>
        </is>
      </c>
      <c r="B25" s="4" t="n">
        <v>0.25</v>
      </c>
    </row>
    <row r="26">
      <c r="A26" s="3" t="inlineStr">
        <is>
          <t>公用事业下跌</t>
        </is>
      </c>
      <c r="B26" s="4" t="n">
        <v>0.08</v>
      </c>
    </row>
    <row r="27">
      <c r="A27" s="3" t="inlineStr">
        <is>
          <t>宽基ETF下跌</t>
        </is>
      </c>
      <c r="B27" s="4" t="n">
        <v>0.12</v>
      </c>
    </row>
    <row r="29">
      <c r="A29" s="6" t="inlineStr">
        <is>
          <t>说明：今日(9/8)10:12买入的电池新批次4,000股当日不可卖，下一交易日(9/9)起可卖；各品种按100股/100份整数倍卖出。</t>
        </is>
      </c>
    </row>
  </sheetData>
  <mergeCells count="5">
    <mergeCell ref="A29:H29"/>
    <mergeCell ref="A16:H16"/>
    <mergeCell ref="A3:D3"/>
    <mergeCell ref="A24:D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账户核对：13:00 汇总页 vs 14:30 买一价</t>
        </is>
      </c>
    </row>
    <row r="3">
      <c r="A3" s="2" t="inlineStr">
        <is>
          <t>一、两套口径勾稽</t>
        </is>
      </c>
    </row>
    <row r="4">
      <c r="A4" s="5" t="inlineStr">
        <is>
          <t>项目</t>
        </is>
      </c>
      <c r="B4" s="5" t="inlineStr">
        <is>
          <t>13:00汇总页</t>
        </is>
      </c>
      <c r="C4" s="5" t="inlineStr">
        <is>
          <t>14:30买一价</t>
        </is>
      </c>
      <c r="D4" s="5" t="inlineStr">
        <is>
          <t>差额(14:30-13:00)</t>
        </is>
      </c>
      <c r="E4" s="5" t="inlineStr">
        <is>
          <t>来源</t>
        </is>
      </c>
    </row>
    <row r="5">
      <c r="A5" s="3" t="inlineStr">
        <is>
          <t>证券市值合计</t>
        </is>
      </c>
      <c r="B5" s="3">
        <f>SUMPRODUCT(输入快照!C18:C22,输入快照!F18:F22)</f>
        <v/>
      </c>
      <c r="C5" s="3">
        <f>SUMPRODUCT(输入快照!C18:C22,输入快照!G18:G22)</f>
        <v/>
      </c>
      <c r="D5" s="7">
        <f>C5-B5</f>
        <v/>
      </c>
      <c r="E5" s="3" t="inlineStr">
        <is>
          <t>13:00按13:00参考价；14:30按买一价</t>
        </is>
      </c>
    </row>
    <row r="6">
      <c r="A6" s="3" t="inlineStr">
        <is>
          <t>现金</t>
        </is>
      </c>
      <c r="B6" s="3">
        <f>输入快照!$B$6</f>
        <v/>
      </c>
      <c r="C6" s="3">
        <f>输入快照!$B$7</f>
        <v/>
      </c>
      <c r="D6" s="7">
        <f>C6-B6</f>
        <v/>
      </c>
      <c r="E6" s="3" t="inlineStr">
        <is>
          <t>现金两时点均为230,000，未变</t>
        </is>
      </c>
    </row>
    <row r="7">
      <c r="A7" s="3" t="inlineStr">
        <is>
          <t>账户净资产合计</t>
        </is>
      </c>
      <c r="B7" s="3">
        <f>B5+B6</f>
        <v/>
      </c>
      <c r="C7" s="3">
        <f>C5+C6</f>
        <v/>
      </c>
      <c r="D7" s="7">
        <f>C7-B7</f>
        <v/>
      </c>
      <c r="E7" s="3" t="inlineStr">
        <is>
          <t>汇总页总资产2,030,000；14:30未随报价更新</t>
        </is>
      </c>
    </row>
    <row r="8"/>
    <row r="9">
      <c r="A9" s="2" t="inlineStr">
        <is>
          <t>二、差额分解（证券市值为何降40,000）</t>
        </is>
      </c>
    </row>
    <row r="10">
      <c r="A10" s="5" t="inlineStr">
        <is>
          <t>品种</t>
        </is>
      </c>
      <c r="B10" s="5" t="inlineStr">
        <is>
          <t>13:00价</t>
        </is>
      </c>
      <c r="C10" s="5" t="inlineStr">
        <is>
          <t>14:30价</t>
        </is>
      </c>
      <c r="D10" s="5" t="inlineStr">
        <is>
          <t>数量</t>
        </is>
      </c>
      <c r="E10" s="5" t="inlineStr">
        <is>
          <t>价格变动额</t>
        </is>
      </c>
      <c r="F10" s="5" t="inlineStr">
        <is>
          <t>市值变动(元)</t>
        </is>
      </c>
    </row>
    <row r="11">
      <c r="A11" s="3" t="inlineStr">
        <is>
          <t>EQ01 光伏设备</t>
        </is>
      </c>
      <c r="B11" s="3">
        <f>输入快照!F18</f>
        <v/>
      </c>
      <c r="C11" s="3">
        <f>输入快照!G18</f>
        <v/>
      </c>
      <c r="D11" s="7">
        <f>输入快照!C18</f>
        <v/>
      </c>
      <c r="E11" s="7">
        <f>C11-B11</f>
        <v/>
      </c>
      <c r="F11" s="7">
        <f>E11*D11</f>
        <v/>
      </c>
    </row>
    <row r="12">
      <c r="A12" s="3" t="inlineStr">
        <is>
          <t>EQ02 电池制造(合计20000股)</t>
        </is>
      </c>
      <c r="B12" s="3">
        <f>输入快照!F19</f>
        <v/>
      </c>
      <c r="C12" s="3">
        <f>输入快照!G19</f>
        <v/>
      </c>
      <c r="D12" s="7">
        <f>输入快照!C19+输入快照!C20</f>
        <v/>
      </c>
      <c r="E12" s="7">
        <f>C12-B12</f>
        <v/>
      </c>
      <c r="F12" s="7">
        <f>E12*D12</f>
        <v/>
      </c>
    </row>
    <row r="13">
      <c r="A13" s="3" t="inlineStr">
        <is>
          <t>EQ03 公用事业 / ETF01 宽基</t>
        </is>
      </c>
      <c r="B13" s="3" t="inlineStr">
        <is>
          <t>价未变</t>
        </is>
      </c>
      <c r="C13" s="3" t="inlineStr">
        <is>
          <t>—</t>
        </is>
      </c>
      <c r="D13" s="3" t="n">
        <v>0</v>
      </c>
      <c r="E13" s="3" t="n">
        <v>0</v>
      </c>
      <c r="F13" s="3" t="n">
        <v>0</v>
      </c>
    </row>
    <row r="14">
      <c r="A14" s="3" t="inlineStr">
        <is>
          <t>差额合计</t>
        </is>
      </c>
      <c r="B14" s="3" t="n"/>
      <c r="C14" s="3" t="n"/>
      <c r="D14" s="3" t="n"/>
      <c r="E14" s="3" t="n"/>
      <c r="F14" s="7">
        <f>F11+F12+F13</f>
        <v/>
      </c>
    </row>
    <row r="15"/>
    <row r="16">
      <c r="A16" s="8" t="inlineStr">
        <is>
          <t>结论：14:30净资产1,990,000 = 13:00汇总2,030,000 − 40,000；其中光伏价26→25贡献-20,000，电池价31→30(20,000股)贡献-20,000。现金两时点一致。本次全部测算采用14:30口径(净资产1,990,000)。</t>
        </is>
      </c>
    </row>
    <row r="17"/>
    <row r="18"/>
    <row r="19">
      <c r="A19" s="2" t="inlineStr">
        <is>
          <t>三、14:30各品种市值、浮盈亏与权重</t>
        </is>
      </c>
    </row>
    <row r="20">
      <c r="A20" s="5" t="inlineStr">
        <is>
          <t>品种</t>
        </is>
      </c>
      <c r="B20" s="5" t="inlineStr">
        <is>
          <t>数量</t>
        </is>
      </c>
      <c r="C20" s="5" t="inlineStr">
        <is>
          <t>14:30价</t>
        </is>
      </c>
      <c r="D20" s="5" t="inlineStr">
        <is>
          <t>市值(元)</t>
        </is>
      </c>
      <c r="E20" s="5" t="inlineStr">
        <is>
          <t>批次成本(元)</t>
        </is>
      </c>
      <c r="F20" s="5" t="inlineStr">
        <is>
          <t>浮盈亏(元)</t>
        </is>
      </c>
      <c r="G20" s="5" t="inlineStr">
        <is>
          <t>权重(占净资产)</t>
        </is>
      </c>
    </row>
    <row r="21">
      <c r="A21" s="3" t="inlineStr">
        <is>
          <t>EQ01 光伏设备</t>
        </is>
      </c>
      <c r="B21" s="3">
        <f>输入快照!C18</f>
        <v/>
      </c>
      <c r="C21" s="3">
        <f>输入快照!G18</f>
        <v/>
      </c>
      <c r="D21" s="7">
        <f>B21*C21</f>
        <v/>
      </c>
      <c r="E21" s="7">
        <f>输入快照!D18</f>
        <v/>
      </c>
      <c r="F21" s="7">
        <f>D21-E21</f>
        <v/>
      </c>
      <c r="G21" s="9">
        <f>D21/$C$7</f>
        <v/>
      </c>
    </row>
    <row r="22">
      <c r="A22" s="3" t="inlineStr">
        <is>
          <t>EQ02 电池·老批次</t>
        </is>
      </c>
      <c r="B22" s="3">
        <f>输入快照!C19</f>
        <v/>
      </c>
      <c r="C22" s="3">
        <f>输入快照!G19</f>
        <v/>
      </c>
      <c r="D22" s="7">
        <f>B22*C22</f>
        <v/>
      </c>
      <c r="E22" s="7">
        <f>输入快照!D19</f>
        <v/>
      </c>
      <c r="F22" s="7">
        <f>D22-E22</f>
        <v/>
      </c>
      <c r="G22" s="9">
        <f>D22/$C$7</f>
        <v/>
      </c>
    </row>
    <row r="23">
      <c r="A23" s="3" t="inlineStr">
        <is>
          <t>EQ02 电池·今日新批次</t>
        </is>
      </c>
      <c r="B23" s="3">
        <f>输入快照!C20</f>
        <v/>
      </c>
      <c r="C23" s="3">
        <f>输入快照!G20</f>
        <v/>
      </c>
      <c r="D23" s="7">
        <f>B23*C23</f>
        <v/>
      </c>
      <c r="E23" s="7">
        <f>输入快照!D20</f>
        <v/>
      </c>
      <c r="F23" s="7">
        <f>D23-E23</f>
        <v/>
      </c>
      <c r="G23" s="9">
        <f>D23/$C$7</f>
        <v/>
      </c>
    </row>
    <row r="24">
      <c r="A24" s="3" t="inlineStr">
        <is>
          <t>EQ03 公用事业</t>
        </is>
      </c>
      <c r="B24" s="3">
        <f>输入快照!C21</f>
        <v/>
      </c>
      <c r="C24" s="3">
        <f>输入快照!G21</f>
        <v/>
      </c>
      <c r="D24" s="7">
        <f>B24*C24</f>
        <v/>
      </c>
      <c r="E24" s="7">
        <f>输入快照!D21</f>
        <v/>
      </c>
      <c r="F24" s="7">
        <f>D24-E24</f>
        <v/>
      </c>
      <c r="G24" s="9">
        <f>D24/$C$7</f>
        <v/>
      </c>
    </row>
    <row r="25">
      <c r="A25" s="3" t="inlineStr">
        <is>
          <t>ETF01 宽基ETF</t>
        </is>
      </c>
      <c r="B25" s="3">
        <f>输入快照!C22</f>
        <v/>
      </c>
      <c r="C25" s="3">
        <f>输入快照!G22</f>
        <v/>
      </c>
      <c r="D25" s="7">
        <f>B25*C25</f>
        <v/>
      </c>
      <c r="E25" s="7">
        <f>输入快照!D22</f>
        <v/>
      </c>
      <c r="F25" s="7">
        <f>D25-E25</f>
        <v/>
      </c>
      <c r="G25" s="9">
        <f>D25/$C$7</f>
        <v/>
      </c>
    </row>
    <row r="26">
      <c r="A26" s="3" t="inlineStr">
        <is>
          <t>现金</t>
        </is>
      </c>
      <c r="B26" s="3" t="n"/>
      <c r="C26" s="3" t="n"/>
      <c r="D26" s="7">
        <f>输入快照!B7</f>
        <v/>
      </c>
      <c r="E26" s="3" t="n"/>
      <c r="F26" s="3" t="n"/>
      <c r="G26" s="9">
        <f>D26/$C$7</f>
        <v/>
      </c>
    </row>
    <row r="27">
      <c r="A27" s="3" t="inlineStr">
        <is>
          <t>合计校验</t>
        </is>
      </c>
      <c r="B27" s="3" t="n"/>
      <c r="C27" s="3" t="n"/>
      <c r="D27" s="7">
        <f>SUM(D21:D26)</f>
        <v/>
      </c>
      <c r="E27" s="3" t="n"/>
      <c r="F27" s="3" t="n"/>
      <c r="G27" s="9">
        <f>SUM(G21:G26)</f>
        <v/>
      </c>
    </row>
  </sheetData>
  <mergeCells count="5">
    <mergeCell ref="A1:G1"/>
    <mergeCell ref="A9:G9"/>
    <mergeCell ref="A3:G3"/>
    <mergeCell ref="A16:G17"/>
    <mergeCell ref="A19:G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6" customWidth="1" min="5" max="5"/>
    <col width="12" customWidth="1" min="6" max="6"/>
    <col width="2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调整与情景测算（黄色为可改拟卖数量；成交前须复核实时价、可卖数与涨跌停）</t>
        </is>
      </c>
    </row>
    <row r="3">
      <c r="A3" s="2" t="inlineStr">
        <is>
          <t>一、拟卖数量输入（100股/份整数倍；今日新批次电池4,000股不可卖）</t>
        </is>
      </c>
    </row>
    <row r="4">
      <c r="A4" s="5" t="inlineStr">
        <is>
          <t>品种</t>
        </is>
      </c>
      <c r="B4" s="5" t="inlineStr">
        <is>
          <t>14:30价</t>
        </is>
      </c>
      <c r="C4" s="5" t="inlineStr">
        <is>
          <t>可卖数量</t>
        </is>
      </c>
      <c r="D4" s="5" t="inlineStr">
        <is>
          <t>方案A:只卖盈利(拟卖)</t>
        </is>
      </c>
      <c r="E4" s="5" t="inlineStr">
        <is>
          <t>方案B:按风险减仓(拟卖)</t>
        </is>
      </c>
      <c r="F4" s="5" t="inlineStr">
        <is>
          <t>成本单价</t>
        </is>
      </c>
      <c r="G4" s="5" t="inlineStr">
        <is>
          <t>备注</t>
        </is>
      </c>
    </row>
    <row r="5">
      <c r="A5" s="3" t="inlineStr">
        <is>
          <t>EQ01 光伏设备</t>
        </is>
      </c>
      <c r="B5" s="3">
        <f>输入快照!G18</f>
        <v/>
      </c>
      <c r="C5" s="3">
        <f>输入快照!E18</f>
        <v/>
      </c>
      <c r="D5" s="4" t="n">
        <v>0</v>
      </c>
      <c r="E5" s="4" t="n">
        <v>12000</v>
      </c>
      <c r="F5" s="3">
        <f>输入快照!H18</f>
        <v/>
      </c>
      <c r="G5" s="3" t="inlineStr">
        <is>
          <t>成本30元/股</t>
        </is>
      </c>
    </row>
    <row r="6">
      <c r="A6" s="3" t="inlineStr">
        <is>
          <t>EQ02 电池·老批次</t>
        </is>
      </c>
      <c r="B6" s="3">
        <f>输入快照!G19</f>
        <v/>
      </c>
      <c r="C6" s="3">
        <f>输入快照!E19</f>
        <v/>
      </c>
      <c r="D6" s="4" t="n">
        <v>0</v>
      </c>
      <c r="E6" s="4" t="n">
        <v>3800</v>
      </c>
      <c r="F6" s="3">
        <f>输入快照!H19</f>
        <v/>
      </c>
      <c r="G6" s="3" t="inlineStr">
        <is>
          <t>成本35元/股</t>
        </is>
      </c>
    </row>
    <row r="7">
      <c r="A7" s="3" t="inlineStr">
        <is>
          <t>EQ02 电池·新批次(锁定)</t>
        </is>
      </c>
      <c r="B7" s="3">
        <f>输入快照!G20</f>
        <v/>
      </c>
      <c r="C7" s="3">
        <f>输入快照!E20</f>
        <v/>
      </c>
      <c r="D7" s="4" t="n">
        <v>0</v>
      </c>
      <c r="E7" s="4" t="n">
        <v>0</v>
      </c>
      <c r="F7" s="3">
        <f>输入快照!H20</f>
        <v/>
      </c>
      <c r="G7" s="3" t="inlineStr">
        <is>
          <t>今日不可卖，留至9/9</t>
        </is>
      </c>
    </row>
    <row r="8">
      <c r="A8" s="3" t="inlineStr">
        <is>
          <t>EQ03 公用事业</t>
        </is>
      </c>
      <c r="B8" s="3">
        <f>输入快照!G21</f>
        <v/>
      </c>
      <c r="C8" s="3">
        <f>输入快照!E21</f>
        <v/>
      </c>
      <c r="D8" s="4" t="n">
        <v>30000</v>
      </c>
      <c r="E8" s="4" t="n">
        <v>0</v>
      </c>
      <c r="F8" s="3">
        <f>输入快照!H21</f>
        <v/>
      </c>
      <c r="G8" s="3" t="inlineStr">
        <is>
          <t>成本8元/股</t>
        </is>
      </c>
    </row>
    <row r="9">
      <c r="A9" s="3" t="inlineStr">
        <is>
          <t>ETF01 宽基ETF</t>
        </is>
      </c>
      <c r="B9" s="3">
        <f>输入快照!G22</f>
        <v/>
      </c>
      <c r="C9" s="3">
        <f>输入快照!E22</f>
        <v/>
      </c>
      <c r="D9" s="4" t="n">
        <v>120000</v>
      </c>
      <c r="E9" s="4" t="n">
        <v>0</v>
      </c>
      <c r="F9" s="3">
        <f>输入快照!H22</f>
        <v/>
      </c>
      <c r="G9" s="3" t="inlineStr">
        <is>
          <t>成本2.8元/份</t>
        </is>
      </c>
    </row>
    <row r="11">
      <c r="A11" s="2" t="inlineStr">
        <is>
          <t>二、成交明细与费用（每品种每日合并一笔；股票0.08%/ETF0.03%，最低5元；卖0股不收）</t>
        </is>
      </c>
    </row>
    <row r="12">
      <c r="A12" s="5" t="inlineStr">
        <is>
          <t>品种</t>
        </is>
      </c>
      <c r="B12" s="5" t="inlineStr">
        <is>
          <t>方向</t>
        </is>
      </c>
      <c r="C12" s="5" t="inlineStr">
        <is>
          <t>方案A成交额</t>
        </is>
      </c>
      <c r="D12" s="5" t="inlineStr">
        <is>
          <t>方案A费用</t>
        </is>
      </c>
      <c r="E12" s="5" t="inlineStr">
        <is>
          <t>方案B成交额</t>
        </is>
      </c>
      <c r="F12" s="5" t="inlineStr">
        <is>
          <t>方案B费用</t>
        </is>
      </c>
      <c r="G12" s="5" t="inlineStr">
        <is>
          <t>方案A实现盈亏(扣费后)</t>
        </is>
      </c>
      <c r="H12" s="5" t="inlineStr">
        <is>
          <t>方案B实现盈亏(扣费后)</t>
        </is>
      </c>
    </row>
    <row r="13">
      <c r="A13" s="3">
        <f>A5</f>
        <v/>
      </c>
      <c r="B13" s="3" t="inlineStr">
        <is>
          <t>卖出</t>
        </is>
      </c>
      <c r="C13" s="10">
        <f>D5*B5</f>
        <v/>
      </c>
      <c r="D13" s="10">
        <f>IF(C13&lt;=0,0,MAX(输入快照!$B$14,C13*输入快照!$B$12))</f>
        <v/>
      </c>
      <c r="E13" s="10">
        <f>E5*B5</f>
        <v/>
      </c>
      <c r="F13" s="10">
        <f>IF(E13&lt;=0,0,MAX(输入快照!$B$14,E13*输入快照!$B$12))</f>
        <v/>
      </c>
      <c r="G13" s="10">
        <f>D5*(B5-F5)-D13</f>
        <v/>
      </c>
      <c r="H13" s="10">
        <f>E5*(B5-F5)-F13</f>
        <v/>
      </c>
    </row>
    <row r="14">
      <c r="A14" s="3">
        <f>A6</f>
        <v/>
      </c>
      <c r="B14" s="3" t="inlineStr">
        <is>
          <t>卖出</t>
        </is>
      </c>
      <c r="C14" s="10">
        <f>D6*B6</f>
        <v/>
      </c>
      <c r="D14" s="10">
        <f>IF(C14&lt;=0,0,MAX(输入快照!$B$14,C14*输入快照!$B$12))</f>
        <v/>
      </c>
      <c r="E14" s="10">
        <f>E6*B6</f>
        <v/>
      </c>
      <c r="F14" s="10">
        <f>IF(E14&lt;=0,0,MAX(输入快照!$B$14,E14*输入快照!$B$12))</f>
        <v/>
      </c>
      <c r="G14" s="10">
        <f>D6*(B6-F6)-D14</f>
        <v/>
      </c>
      <c r="H14" s="10">
        <f>E6*(B6-F6)-F14</f>
        <v/>
      </c>
    </row>
    <row r="15">
      <c r="A15" s="3">
        <f>A7</f>
        <v/>
      </c>
      <c r="B15" s="3" t="inlineStr">
        <is>
          <t>卖出</t>
        </is>
      </c>
      <c r="C15" s="10">
        <f>D7*B7</f>
        <v/>
      </c>
      <c r="D15" s="10">
        <f>IF(C15&lt;=0,0,MAX(输入快照!$B$14,C15*输入快照!$B$12))</f>
        <v/>
      </c>
      <c r="E15" s="10">
        <f>E7*B7</f>
        <v/>
      </c>
      <c r="F15" s="10">
        <f>IF(E15&lt;=0,0,MAX(输入快照!$B$14,E15*输入快照!$B$12))</f>
        <v/>
      </c>
      <c r="G15" s="10">
        <f>D7*(B7-F7)-D15</f>
        <v/>
      </c>
      <c r="H15" s="10">
        <f>E7*(B7-F7)-F15</f>
        <v/>
      </c>
    </row>
    <row r="16">
      <c r="A16" s="3">
        <f>A8</f>
        <v/>
      </c>
      <c r="B16" s="3" t="inlineStr">
        <is>
          <t>卖出</t>
        </is>
      </c>
      <c r="C16" s="10">
        <f>D8*B8</f>
        <v/>
      </c>
      <c r="D16" s="10">
        <f>IF(C16&lt;=0,0,MAX(输入快照!$B$14,C16*输入快照!$B$12))</f>
        <v/>
      </c>
      <c r="E16" s="10">
        <f>E8*B8</f>
        <v/>
      </c>
      <c r="F16" s="10">
        <f>IF(E16&lt;=0,0,MAX(输入快照!$B$14,E16*输入快照!$B$12))</f>
        <v/>
      </c>
      <c r="G16" s="10">
        <f>D8*(B8-F8)-D16</f>
        <v/>
      </c>
      <c r="H16" s="10">
        <f>E8*(B8-F8)-F16</f>
        <v/>
      </c>
    </row>
    <row r="17">
      <c r="A17" s="3">
        <f>A9</f>
        <v/>
      </c>
      <c r="B17" s="3" t="inlineStr">
        <is>
          <t>卖出</t>
        </is>
      </c>
      <c r="C17" s="10">
        <f>D9*B9</f>
        <v/>
      </c>
      <c r="D17" s="10">
        <f>IF(C17&lt;=0,0,MAX(输入快照!$B$14,C17*输入快照!$B$13))</f>
        <v/>
      </c>
      <c r="E17" s="10">
        <f>E9*B9</f>
        <v/>
      </c>
      <c r="F17" s="10">
        <f>IF(E17&lt;=0,0,MAX(输入快照!$B$14,E17*输入快照!$B$13))</f>
        <v/>
      </c>
      <c r="G17" s="10">
        <f>D9*(B9-F9)-D17</f>
        <v/>
      </c>
      <c r="H17" s="10">
        <f>E9*(B9-F9)-F17</f>
        <v/>
      </c>
    </row>
    <row r="18">
      <c r="A18" s="3" t="inlineStr">
        <is>
          <t>合计</t>
        </is>
      </c>
      <c r="B18" s="3" t="n"/>
      <c r="C18" s="10">
        <f>SUM(C13:C17)</f>
        <v/>
      </c>
      <c r="D18" s="10">
        <f>SUM(D13:D17)</f>
        <v/>
      </c>
      <c r="E18" s="10">
        <f>SUM(E13:E17)</f>
        <v/>
      </c>
      <c r="F18" s="10">
        <f>SUM(F13:F17)</f>
        <v/>
      </c>
      <c r="G18" s="10">
        <f>SUM(G13:G17)</f>
        <v/>
      </c>
      <c r="H18" s="10">
        <f>SUM(H13:H17)</f>
        <v/>
      </c>
    </row>
    <row r="20">
      <c r="A20" s="2" t="inlineStr">
        <is>
          <t>三、交易后持仓、现金与净资产（分母=扣费用后净资产）</t>
        </is>
      </c>
    </row>
    <row r="21">
      <c r="A21" s="5" t="inlineStr">
        <is>
          <t>项目</t>
        </is>
      </c>
      <c r="B21" s="5" t="inlineStr">
        <is>
          <t>未调整(14:30)</t>
        </is>
      </c>
      <c r="C21" s="5" t="inlineStr">
        <is>
          <t>方案A 只卖盈利</t>
        </is>
      </c>
      <c r="D21" s="5" t="inlineStr">
        <is>
          <t>方案B 按风险减仓</t>
        </is>
      </c>
      <c r="E21" s="5" t="inlineStr">
        <is>
          <t>口径</t>
        </is>
      </c>
    </row>
    <row r="22">
      <c r="A22" s="3" t="inlineStr">
        <is>
          <t>光伏设备市值</t>
        </is>
      </c>
      <c r="B22" s="7">
        <f>输入快照!C18*输入快照!G18</f>
        <v/>
      </c>
      <c r="C22" s="7">
        <f>(输入快照!C18-D5)*输入快照!G18</f>
        <v/>
      </c>
      <c r="D22" s="7">
        <f>(输入快照!C18-E5)*输入快照!G18</f>
        <v/>
      </c>
      <c r="E22" s="3" t="n"/>
    </row>
    <row r="23">
      <c r="A23" s="3" t="inlineStr">
        <is>
          <t>电池制造市值(合计)</t>
        </is>
      </c>
      <c r="B23" s="7">
        <f>(输入快照!C19+输入快照!C20)*输入快照!G19</f>
        <v/>
      </c>
      <c r="C23" s="7">
        <f>((输入快照!C19-D6)+输入快照!C20)*输入快照!G19</f>
        <v/>
      </c>
      <c r="D23" s="7">
        <f>((输入快照!C19-E6)+输入快照!C20)*输入快照!G19</f>
        <v/>
      </c>
      <c r="E23" s="3" t="n"/>
    </row>
    <row r="24">
      <c r="A24" s="3" t="inlineStr">
        <is>
          <t>公用事业市值</t>
        </is>
      </c>
      <c r="B24" s="7">
        <f>输入快照!C21*输入快照!G21</f>
        <v/>
      </c>
      <c r="C24" s="7">
        <f>(输入快照!C21-D8)*输入快照!G21</f>
        <v/>
      </c>
      <c r="D24" s="7">
        <f>(输入快照!C21-E8)*输入快照!G21</f>
        <v/>
      </c>
      <c r="E24" s="3" t="n"/>
    </row>
    <row r="25">
      <c r="A25" s="3" t="inlineStr">
        <is>
          <t>宽基ETF市值</t>
        </is>
      </c>
      <c r="B25" s="7">
        <f>输入快照!C22*输入快照!G22</f>
        <v/>
      </c>
      <c r="C25" s="7">
        <f>(输入快照!C22-D9)*输入快照!G22</f>
        <v/>
      </c>
      <c r="D25" s="7">
        <f>(输入快照!C22-E9)*输入快照!G22</f>
        <v/>
      </c>
      <c r="E25" s="3" t="n"/>
    </row>
    <row r="26">
      <c r="A26" s="3" t="inlineStr">
        <is>
          <t>现金</t>
        </is>
      </c>
      <c r="B26" s="7">
        <f>输入快照!B7</f>
        <v/>
      </c>
      <c r="C26" s="7">
        <f>输入快照!B7+C18-D18</f>
        <v/>
      </c>
      <c r="D26" s="7">
        <f>输入快照!B7+E18-F18</f>
        <v/>
      </c>
      <c r="E26" s="3" t="n"/>
    </row>
    <row r="27">
      <c r="A27" s="3" t="inlineStr">
        <is>
          <t>净资产(扣费用后)</t>
        </is>
      </c>
      <c r="B27" s="7">
        <f>SUM(B22:B25)+B26</f>
        <v/>
      </c>
      <c r="C27" s="7">
        <f>SUM(C22:C25)+C26</f>
        <v/>
      </c>
      <c r="D27" s="7">
        <f>SUM(D22:D25)+D26</f>
        <v/>
      </c>
      <c r="E27" s="3" t="n"/>
    </row>
    <row r="28">
      <c r="A28" s="3" t="inlineStr">
        <is>
          <t>权重：光伏</t>
        </is>
      </c>
      <c r="B28" s="9">
        <f>B22/B27</f>
        <v/>
      </c>
      <c r="C28" s="9">
        <f>C22/C27</f>
        <v/>
      </c>
      <c r="D28" s="9">
        <f>D22/D27</f>
        <v/>
      </c>
      <c r="E28" s="3" t="n"/>
    </row>
    <row r="29">
      <c r="A29" s="3" t="inlineStr">
        <is>
          <t>权重：电池</t>
        </is>
      </c>
      <c r="B29" s="9">
        <f>B23/B27</f>
        <v/>
      </c>
      <c r="C29" s="9">
        <f>C23/C27</f>
        <v/>
      </c>
      <c r="D29" s="9">
        <f>D23/D27</f>
        <v/>
      </c>
      <c r="E29" s="3" t="n"/>
    </row>
    <row r="30">
      <c r="A30" s="3" t="inlineStr">
        <is>
          <t>权重：新能源合计</t>
        </is>
      </c>
      <c r="B30" s="9">
        <f>(B22+B23)/B27</f>
        <v/>
      </c>
      <c r="C30" s="9">
        <f>(C22+C23)/C27</f>
        <v/>
      </c>
      <c r="D30" s="9">
        <f>(D22+D23)/D27</f>
        <v/>
      </c>
      <c r="E30" s="3" t="n"/>
    </row>
    <row r="31">
      <c r="A31" s="3" t="inlineStr">
        <is>
          <t>权重：公用事业</t>
        </is>
      </c>
      <c r="B31" s="9">
        <f>B24/B27</f>
        <v/>
      </c>
      <c r="C31" s="9">
        <f>C24/C27</f>
        <v/>
      </c>
      <c r="D31" s="9">
        <f>D24/D27</f>
        <v/>
      </c>
      <c r="E31" s="3" t="n"/>
    </row>
    <row r="32">
      <c r="A32" s="3" t="inlineStr">
        <is>
          <t>权重：现金</t>
        </is>
      </c>
      <c r="B32" s="9">
        <f>B26/B27</f>
        <v/>
      </c>
      <c r="C32" s="9">
        <f>C26/C27</f>
        <v/>
      </c>
      <c r="D32" s="9">
        <f>D26/D27</f>
        <v/>
      </c>
      <c r="E32" s="3" t="n"/>
    </row>
    <row r="34">
      <c r="A34" s="2" t="inlineStr">
        <is>
          <t>四、四项硬约束状态（分母=该方案扣费用后净资产）</t>
        </is>
      </c>
    </row>
    <row r="35">
      <c r="A35" s="5" t="inlineStr">
        <is>
          <t>约束</t>
        </is>
      </c>
      <c r="B35" s="5" t="inlineStr">
        <is>
          <t>阈值</t>
        </is>
      </c>
      <c r="C35" s="5" t="inlineStr">
        <is>
          <t>未调整</t>
        </is>
      </c>
      <c r="D35" s="5" t="inlineStr">
        <is>
          <t>方案A</t>
        </is>
      </c>
      <c r="E35" s="5" t="inlineStr">
        <is>
          <t>方案B</t>
        </is>
      </c>
      <c r="F35" s="5" t="inlineStr">
        <is>
          <t>判定(方案B)</t>
        </is>
      </c>
      <c r="G35" s="5" t="inlineStr">
        <is>
          <t>说明</t>
        </is>
      </c>
    </row>
    <row r="36">
      <c r="A36" s="3" t="inlineStr">
        <is>
          <t>现金≥下限</t>
        </is>
      </c>
      <c r="B36" s="3">
        <f>输入快照!$B$8</f>
        <v/>
      </c>
      <c r="C36" s="7">
        <f>B26</f>
        <v/>
      </c>
      <c r="D36" s="7">
        <f>C26</f>
        <v/>
      </c>
      <c r="E36" s="7">
        <f>D26</f>
        <v/>
      </c>
      <c r="F36" s="3">
        <f>IF(E36&gt;=B36,"达标","超限")</f>
        <v/>
      </c>
      <c r="G36" s="3" t="inlineStr">
        <is>
          <t>方案B交易后现金643,669元</t>
        </is>
      </c>
    </row>
    <row r="37">
      <c r="A37" s="3" t="inlineStr">
        <is>
          <t>单只股票≤25%</t>
        </is>
      </c>
      <c r="B37" s="11">
        <f>输入快照!$B$9</f>
        <v/>
      </c>
      <c r="C37" s="9">
        <f>B29</f>
        <v/>
      </c>
      <c r="D37" s="9">
        <f>C29</f>
        <v/>
      </c>
      <c r="E37" s="9">
        <f>D29</f>
        <v/>
      </c>
      <c r="F37" s="3">
        <f>IF(MAX(D29/D27,D28/D27)&lt;=B37,"达标","超限")</f>
        <v/>
      </c>
      <c r="G37" s="3" t="inlineStr">
        <is>
          <t>看最大单票；方案B电池24.43%为最紧</t>
        </is>
      </c>
    </row>
    <row r="38">
      <c r="A38" s="3" t="inlineStr">
        <is>
          <t>新能源≤45%</t>
        </is>
      </c>
      <c r="B38" s="11">
        <f>输入快照!$B$10</f>
        <v/>
      </c>
      <c r="C38" s="9">
        <f>B30</f>
        <v/>
      </c>
      <c r="D38" s="9">
        <f>C30</f>
        <v/>
      </c>
      <c r="E38" s="9">
        <f>D30</f>
        <v/>
      </c>
      <c r="F38" s="3">
        <f>IF(E38&lt;=B38,"达标","超限")</f>
        <v/>
      </c>
      <c r="G38" s="3" t="inlineStr">
        <is>
          <t>光伏+电池合计</t>
        </is>
      </c>
    </row>
    <row r="39">
      <c r="A39" s="3" t="inlineStr">
        <is>
          <t>联动损失率≤12%</t>
        </is>
      </c>
      <c r="B39" s="11">
        <f>输入快照!$B$11</f>
        <v/>
      </c>
      <c r="C39" s="9">
        <f>((B22+B23)*输入快照!$B$25+B24*输入快照!$B$26+B25*输入快照!$B$27)/B27</f>
        <v/>
      </c>
      <c r="D39" s="9">
        <f>((C22+C23)*输入快照!$B$25+C24*输入快照!$B$26+C25*输入快照!$B$27)/C27</f>
        <v/>
      </c>
      <c r="E39" s="9">
        <f>((D22+D23)*输入快照!$B$25+D24*输入快照!$B$26+D25*输入快照!$B$27)/D27</f>
        <v/>
      </c>
      <c r="F39" s="3">
        <f>IF(E39&lt;=B39,"达标","超限")</f>
        <v/>
      </c>
      <c r="G39" s="3" t="inlineStr">
        <is>
          <t>现金不受冲击；费用已扣现金一次不重复计</t>
        </is>
      </c>
    </row>
    <row r="41">
      <c r="A41" s="2" t="inlineStr">
        <is>
          <t>五、联动与次日情景（最不利取12%上限）</t>
        </is>
      </c>
    </row>
    <row r="42">
      <c r="A42" s="5" t="inlineStr">
        <is>
          <t>情景</t>
        </is>
      </c>
      <c r="B42" s="5" t="inlineStr">
        <is>
          <t>起点净资产</t>
        </is>
      </c>
      <c r="C42" s="5" t="inlineStr">
        <is>
          <t>冲击/跌价过程</t>
        </is>
      </c>
      <c r="D42" s="5" t="inlineStr">
        <is>
          <t>损失额</t>
        </is>
      </c>
      <c r="E42" s="5" t="inlineStr">
        <is>
          <t>损失率</t>
        </is>
      </c>
      <c r="F42" s="5" t="inlineStr">
        <is>
          <t>判定</t>
        </is>
      </c>
    </row>
    <row r="43">
      <c r="A43" s="3" t="inlineStr">
        <is>
          <t>未调整：联动冲击</t>
        </is>
      </c>
      <c r="B43" s="7">
        <f>B27</f>
        <v/>
      </c>
      <c r="C43" s="3" t="inlineStr">
        <is>
          <t>NE-25%,公用-8%,ETF-12%</t>
        </is>
      </c>
      <c r="D43" s="7">
        <f>C39*B27</f>
        <v/>
      </c>
      <c r="E43" s="9">
        <f>C39</f>
        <v/>
      </c>
      <c r="F43" s="3">
        <f>IF(E43&lt;=输入快照!$B$11,"达标","超限")</f>
        <v/>
      </c>
    </row>
    <row r="44">
      <c r="A44" s="3" t="inlineStr">
        <is>
          <t>方案A：联动冲击</t>
        </is>
      </c>
      <c r="B44" s="7">
        <f>C27</f>
        <v/>
      </c>
      <c r="C44" s="3" t="inlineStr">
        <is>
          <t>NE-25%(已无公用/ETF)</t>
        </is>
      </c>
      <c r="D44" s="7">
        <f>D39*C27</f>
        <v/>
      </c>
      <c r="E44" s="9">
        <f>D39</f>
        <v/>
      </c>
      <c r="F44" s="3">
        <f>IF(E44&lt;=输入快照!$B$11,"达标","超限")</f>
        <v/>
      </c>
    </row>
    <row r="45">
      <c r="A45" s="3" t="inlineStr">
        <is>
          <t>方案B：联动冲击</t>
        </is>
      </c>
      <c r="B45" s="7">
        <f>D27</f>
        <v/>
      </c>
      <c r="C45" s="3" t="inlineStr">
        <is>
          <t>NE-25%,公用-8%,ETF-12%</t>
        </is>
      </c>
      <c r="D45" s="7">
        <f>E39*D27</f>
        <v/>
      </c>
      <c r="E45" s="9">
        <f>E39</f>
        <v/>
      </c>
      <c r="F45" s="3">
        <f>IF(E45&lt;=输入快照!$B$11,"达标","超限")</f>
        <v/>
      </c>
    </row>
    <row r="46">
      <c r="A46" s="3" t="inlineStr">
        <is>
          <t>9/9 次日：新能源先跌5%，再叠加联动(方案B为起点)</t>
        </is>
      </c>
      <c r="B46" s="3">
        <f>D27</f>
        <v/>
      </c>
      <c r="C46" s="3" t="inlineStr">
        <is>
          <t>新能源(光伏+电池)×0.95；其余价不变；先以此为新分母再算联动增量</t>
        </is>
      </c>
      <c r="D46" s="7">
        <f>(D22+D23)*0.95+D24+D25+D26</f>
        <v/>
      </c>
      <c r="E46" s="9">
        <f>((D22+D23)*0.95*输入快照!$B$25+D24*输入快照!$B$26+D25*输入快照!$B$27)/D46</f>
        <v/>
      </c>
      <c r="F46" s="3">
        <f>IF(E46&lt;=输入快照!$B$11,"达标","超限")</f>
        <v/>
      </c>
    </row>
    <row r="48">
      <c r="A48" s="8" t="inlineStr">
        <is>
          <t>注：次日5%下跌的市值减少单独计入净资产下降，不在联动损失率分母中重复；增量损失=跌后新能源×25%+公用×8%+ETF×12%，除以跌后、联动前净资产。若9/9开盘前追加交易，须先按费率扣新增费用，再以追加后、联动前净资产为分母重算。</t>
        </is>
      </c>
    </row>
    <row r="49"/>
  </sheetData>
  <mergeCells count="7">
    <mergeCell ref="A1:J1"/>
    <mergeCell ref="A48:J49"/>
    <mergeCell ref="A3:J3"/>
    <mergeCell ref="A34:J34"/>
    <mergeCell ref="A20:J20"/>
    <mergeCell ref="A41:J41"/>
    <mergeCell ref="A11:J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4" customWidth="1" min="3" max="3"/>
    <col width="28" customWidth="1" min="4" max="4"/>
    <col width="24" customWidth="1" min="5" max="5"/>
    <col width="34" customWidth="1" min="6" max="6"/>
  </cols>
  <sheetData>
    <row r="1">
      <c r="A1" s="1" t="inlineStr">
        <is>
          <t>交易日历与 if→then 交易纪律</t>
        </is>
      </c>
    </row>
    <row r="3">
      <c r="A3" s="5" t="inlineStr">
        <is>
          <t>日历日</t>
        </is>
      </c>
      <c r="B3" s="5" t="inlineStr">
        <is>
          <t>星期</t>
        </is>
      </c>
      <c r="C3" s="5" t="inlineStr">
        <is>
          <t>是否交易日</t>
        </is>
      </c>
      <c r="D3" s="5" t="inlineStr">
        <is>
          <t>可执行时段/资金说明</t>
        </is>
      </c>
      <c r="E3" s="5" t="inlineStr">
        <is>
          <t>备注</t>
        </is>
      </c>
    </row>
    <row r="4">
      <c r="A4" s="12" t="inlineStr">
        <is>
          <t>2026-09-08</t>
        </is>
      </c>
      <c r="B4" s="12" t="inlineStr">
        <is>
          <t>周二</t>
        </is>
      </c>
      <c r="C4" s="12" t="inlineStr">
        <is>
          <t>是</t>
        </is>
      </c>
      <c r="D4" s="12" t="inlineStr">
        <is>
          <t>14:30后收盘沟通；今日可卖=除今日新购电池外全部持仓</t>
        </is>
      </c>
      <c r="E4" s="12" t="inlineStr">
        <is>
          <t>新购电池4,000股T+1不可卖</t>
        </is>
      </c>
    </row>
    <row r="5">
      <c r="A5" s="12" t="inlineStr">
        <is>
          <t>2026-09-09</t>
        </is>
      </c>
      <c r="B5" s="12" t="inlineStr">
        <is>
          <t>周三</t>
        </is>
      </c>
      <c r="C5" s="12" t="inlineStr">
        <is>
          <t>是</t>
        </is>
      </c>
      <c r="D5" s="12" t="inlineStr">
        <is>
          <t>开盘前复核可卖数量与价格；新购电池解锁可卖</t>
        </is>
      </c>
      <c r="E5" s="12" t="inlineStr">
        <is>
          <t>下一交易日</t>
        </is>
      </c>
    </row>
    <row r="7">
      <c r="A7" s="2" t="inlineStr">
        <is>
          <t>if→then 规则（条件计划，非委托承诺；成交前以实时报价、可卖数、涨跌停为准）</t>
        </is>
      </c>
    </row>
    <row r="8">
      <c r="A8" s="5" t="inlineStr">
        <is>
          <t>规则号</t>
        </is>
      </c>
      <c r="B8" s="5" t="inlineStr">
        <is>
          <t>触发条件(可观察+时点)</t>
        </is>
      </c>
      <c r="C8" s="5" t="inlineStr">
        <is>
          <t>动作</t>
        </is>
      </c>
      <c r="D8" s="5" t="inlineStr">
        <is>
          <t>数量口径</t>
        </is>
      </c>
      <c r="E8" s="5" t="inlineStr">
        <is>
          <t>费用/净回笼(14:30基准)</t>
        </is>
      </c>
      <c r="F8" s="5" t="inlineStr">
        <is>
          <t>未成交后手/复核</t>
        </is>
      </c>
    </row>
    <row r="9">
      <c r="A9" s="12" t="inlineStr">
        <is>
          <t>R1</t>
        </is>
      </c>
      <c r="B9" s="12" t="inlineStr">
        <is>
          <t>9/8 14:30后，报价与可卖数正常、无涨跌停</t>
        </is>
      </c>
      <c r="C9" s="12" t="inlineStr">
        <is>
          <t>按方案B挂限价单卖出光伏12,000股+电池老批次3,800股</t>
        </is>
      </c>
      <c r="D9" s="12" t="inlineStr">
        <is>
          <t>本阶段追加量，基准为当前持仓；累计卖光伏12,000、电池老3,800</t>
        </is>
      </c>
      <c r="E9" s="12" t="inlineStr">
        <is>
          <t>成交额414,000；费用约331元；净回笼约413,669</t>
        </is>
      </c>
      <c r="F9" s="12" t="inlineStr">
        <is>
          <t>收盘后复核：电池≤25%、新能源≤45%、联动≤12%、现金≥30万</t>
        </is>
      </c>
    </row>
    <row r="10">
      <c r="A10" s="12" t="inlineStr">
        <is>
          <t>R2</t>
        </is>
      </c>
      <c r="B10" s="12" t="inlineStr">
        <is>
          <t>若光伏或电池封跌停/无买盘，方案B无法成交</t>
        </is>
      </c>
      <c r="C10" s="12" t="inlineStr">
        <is>
          <t>当日不强行成交，按跌停价挂单仅作排队</t>
        </is>
      </c>
      <c r="D10" s="12" t="inlineStr">
        <is>
          <t>卖量=0</t>
        </is>
      </c>
      <c r="E10" s="12" t="inlineStr">
        <is>
          <t>费用0、现金不变</t>
        </is>
      </c>
      <c r="F10" s="12" t="inlineStr">
        <is>
          <t>9/9开盘重挂；当日未达标不属已合规，禁止加仓/做T</t>
        </is>
      </c>
    </row>
    <row r="11">
      <c r="A11" s="12" t="inlineStr">
        <is>
          <t>R3</t>
        </is>
      </c>
      <c r="B11" s="12" t="inlineStr">
        <is>
          <t>若部分成交</t>
        </is>
      </c>
      <c r="C11" s="12" t="inlineStr">
        <is>
          <t>仅按实际成交股数复核四项约束；未成交部分转9/9</t>
        </is>
      </c>
      <c r="D11" s="12" t="inlineStr">
        <is>
          <t>按实际成交</t>
        </is>
      </c>
      <c r="E11" s="12" t="inlineStr">
        <is>
          <t>按实际成交额扣费</t>
        </is>
      </c>
      <c r="F11" s="12" t="inlineStr">
        <is>
          <t>次日开盘补挂至目标量；新购电池4,000股9/9才可卖</t>
        </is>
      </c>
    </row>
    <row r="12">
      <c r="A12" s="12" t="inlineStr">
        <is>
          <t>R4</t>
        </is>
      </c>
      <c r="B12" s="12" t="inlineStr">
        <is>
          <t>9/9开盘：新能源(光伏+电池)较今日再跌5%</t>
        </is>
      </c>
      <c r="C12" s="12" t="inlineStr">
        <is>
          <t>以今日方案B收盘后持仓为新起点，不追加交易先复核</t>
        </is>
      </c>
      <c r="D12" s="12" t="inlineStr">
        <is>
          <t>不交易</t>
        </is>
      </c>
      <c r="E12" s="12" t="inlineStr">
        <is>
          <t>费用0</t>
        </is>
      </c>
      <c r="F12" s="12" t="inlineStr">
        <is>
          <t>跌后联动损失率约11.77%仍≤12%；若盘中突破12%则触发减新能源</t>
        </is>
      </c>
    </row>
    <row r="13">
      <c r="A13" s="12" t="inlineStr">
        <is>
          <t>R5</t>
        </is>
      </c>
      <c r="B13" s="12" t="inlineStr">
        <is>
          <t>9/9盘中：联动损失率测算&gt;12% 或 电池权重回升&gt;25%</t>
        </is>
      </c>
      <c r="C13" s="12" t="inlineStr">
        <is>
          <t>追加卖出新能源(优先光伏)至回到限内</t>
        </is>
      </c>
      <c r="D13" s="12" t="inlineStr">
        <is>
          <t>追加量=按当时价反解至目标权重的100股整数倍</t>
        </is>
      </c>
      <c r="E13" s="12" t="inlineStr">
        <is>
          <t>按新成交额扣费率；先扣费用再以联动前净资产为分母复核</t>
        </is>
      </c>
      <c r="F13" s="12" t="inlineStr">
        <is>
          <t>卖出后重算四项约束；超限期间不得买入任何证券</t>
        </is>
      </c>
    </row>
    <row r="14">
      <c r="A14" s="12" t="inlineStr">
        <is>
          <t>R6</t>
        </is>
      </c>
      <c r="B14" s="12" t="inlineStr">
        <is>
          <t>客户坚持今日不卖任何电池</t>
        </is>
      </c>
      <c r="C14" s="12" t="inlineStr">
        <is>
          <t>维持现金与新能源约束须另议；本组合无法同时满足单票25%</t>
        </is>
      </c>
      <c r="D14" s="12" t="inlineStr">
        <is>
          <t>电池卖量=0</t>
        </is>
      </c>
      <c r="E14" s="12" t="inlineStr">
        <is>
          <t>—</t>
        </is>
      </c>
      <c r="F14" s="12" t="inlineStr">
        <is>
          <t>须放松单票上限至≥30.2%或增资约41万元；否则须卖≥3,500股电池</t>
        </is>
      </c>
    </row>
  </sheetData>
  <mergeCells count="2">
    <mergeCell ref="A1:F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致客户沟通说明（可直接使用）</t>
        </is>
      </c>
    </row>
    <row r="3">
      <c r="A3" s="13" t="inlineStr">
        <is>
          <t>主题</t>
        </is>
      </c>
      <c r="B3" s="12" t="inlineStr">
        <is>
          <t>关于今日集中持仓复核与减仓安排</t>
        </is>
      </c>
    </row>
    <row r="4">
      <c r="A4" s="13" t="inlineStr">
        <is>
          <t>一、账户现状</t>
        </is>
      </c>
      <c r="B4" s="12" t="inlineStr">
        <is>
          <t>截至9月8日14:30，账户净资产约199.0万元，现金23.0万元。13:00汇总页显示总资产203.0万元，与14:30相差4.0万元，全部来自光伏与电池在过去一个多小时各下跌1元，现金未变。账面整体浮亏约9.8万元，其中光伏亏10.0万、电池亏8.2万；公用事业与宽基ETF分别浮盈6.0万与2.4万。</t>
        </is>
      </c>
    </row>
    <row r="5">
      <c r="A5" s="13" t="inlineStr">
        <is>
          <t>二、为什么不能只卖赚钱的品种</t>
        </is>
      </c>
      <c r="B5" s="12" t="inlineStr">
        <is>
          <t>按您的设想，只把盈利的公用事业和宽基ETF卖出、把亏损的电池股留下：卖出后现金升至约88.9万元，现金一项达标，但风险指标反而变差——新能源(光伏+电池)占比仍高达55.3%，电池单票占30.2%，联动情景损失率升至13.8%，超过12%的风控线。原因是卖掉的正是低波动的公用事业和宽基，留下的全是高波动、同涨同跌的新能源，集中度不降反升。把账面亏损大小当作减仓顺序，会与分散风险的目标相反。</t>
        </is>
      </c>
    </row>
    <row r="6">
      <c r="A6" s="13" t="inlineStr">
        <is>
          <t>三、建议的处理方案</t>
        </is>
      </c>
      <c r="B6" s="12" t="inlineStr">
        <is>
          <t>按组合风险减仓：今日卖出光伏12,000股、电池老批次3,800股(约成交41.4万元)，保留公用事业与宽基ETF。完成后：现金约64.4万元(高于30万元要求)，电池占比24.4%、光伏10.1%，新能源合计34.5%，联动情景损失率约12.0%，四项约束同时达标。该方案会实现约7.9万元亏损，但这是把组合从‘四只约束全部超限’拉回风控线内的必要调整，不代表看空新能源长期逻辑。今日新买入的4,000股电池按规则当日不可卖，未计入今日卖量。</t>
        </is>
      </c>
    </row>
    <row r="7">
      <c r="A7" s="13" t="inlineStr">
        <is>
          <t>四、若您坚持保留全部电池股</t>
        </is>
      </c>
      <c r="B7" s="12" t="inlineStr">
        <is>
          <t>可以理解您不愿割肉电池的想法。但要如实说明：在不追加资金、不加杠杆的前提下，只要电池股维持60万元市值，其占净资产比重就在30%以上，无论怎么卖光伏和其他品种都无法压到25%的单票上限——除非把单票上限放宽到约30%，或额外注入约41万元资金来稀释比重。我们不会替您默认提高风险预算；是否放宽这一条，请您书面确认后我们再执行。</t>
        </is>
      </c>
    </row>
    <row r="8">
      <c r="A8" s="13" t="inlineStr">
        <is>
          <t>五、保留的敞口与重新评估触发条件</t>
        </is>
      </c>
      <c r="B8" s="12" t="inlineStr">
        <is>
          <t>新能源方向仍保留约68.6万元(光伏20万+电池48.6万)，与您‘保留一年’的意愿一致。后续出现以下任一情况我们会主动复核并与您沟通：①联动情景损失率测算重新超过12%；②电池单票占比回升超过25%；③新能源合计超过45%。若9月9日新能源再下跌5%，按本方案持仓测算联动损失率约11.8%，仍在安全线内，但我们会在开盘后第一时间按最新价格重算并向您报备。</t>
        </is>
      </c>
    </row>
    <row r="9">
      <c r="A9" s="13" t="inlineStr">
        <is>
          <t>六、执行说明与边界</t>
        </is>
      </c>
      <c r="B9" s="12" t="inlineStr">
        <is>
          <t>以上均为基于14:30买一价的条件测算，不是委托单；实际成交前会复核实时报价、可卖数量与涨跌停。若跌停或未成交，当日不强行成交，顺延至9月9日按相同纪律处理。本账户不新增证券、不代下单、不承诺回本；所有动作以您确认后另行为准。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34" customWidth="1" min="4" max="4"/>
  </cols>
  <sheetData>
    <row r="1">
      <c r="A1" s="1" t="inlineStr">
        <is>
          <t>假设与缺失清单</t>
        </is>
      </c>
    </row>
    <row r="3">
      <c r="A3" s="5" t="inlineStr">
        <is>
          <t>条目</t>
        </is>
      </c>
      <c r="B3" s="5" t="inlineStr">
        <is>
          <t>类型</t>
        </is>
      </c>
      <c r="C3" s="5" t="inlineStr">
        <is>
          <t>依据/影响</t>
        </is>
      </c>
      <c r="D3" s="5" t="inlineStr">
        <is>
          <t>补齐后需重算</t>
        </is>
      </c>
    </row>
    <row r="4">
      <c r="A4" s="12" t="inlineStr">
        <is>
          <t>as-of=2026-09-08 14:30</t>
        </is>
      </c>
      <c r="B4" s="12" t="inlineStr">
        <is>
          <t>已确认事实</t>
        </is>
      </c>
      <c r="C4" s="12" t="inlineStr">
        <is>
          <t>附件《账户交接》载明；9/8周二、9/9周三均为交易日</t>
        </is>
      </c>
      <c r="D4" s="12" t="inlineStr">
        <is>
          <t>—</t>
        </is>
      </c>
    </row>
    <row r="5">
      <c r="A5" s="12" t="inlineStr">
        <is>
          <t>14:30买一价为卖出测算价</t>
        </is>
      </c>
      <c r="B5" s="12" t="inlineStr">
        <is>
          <t>合理推断</t>
        </is>
      </c>
      <c r="C5" s="12" t="inlineStr">
        <is>
          <t>附件：以买一价测算，无实时接口</t>
        </is>
      </c>
      <c r="D5" s="12" t="inlineStr">
        <is>
          <t>成交价/可卖数需盘前复核</t>
        </is>
      </c>
    </row>
    <row r="6">
      <c r="A6" s="12" t="inlineStr">
        <is>
          <t>费用按成交额0.08%/0.03%、最低5元</t>
        </is>
      </c>
      <c r="B6" s="12" t="inlineStr">
        <is>
          <t>已确认事实</t>
        </is>
      </c>
      <c r="C6" s="12" t="inlineStr">
        <is>
          <t>附件费率表；卖0股不收</t>
        </is>
      </c>
      <c r="D6" s="12" t="inlineStr">
        <is>
          <t>实际佣金/印花税以账单为准</t>
        </is>
      </c>
    </row>
    <row r="7">
      <c r="A7" s="12" t="inlineStr">
        <is>
          <t>今日新购电池4,000股T+1不可卖</t>
        </is>
      </c>
      <c r="B7" s="12" t="inlineStr">
        <is>
          <t>已确认事实</t>
        </is>
      </c>
      <c r="C7" s="12" t="inlineStr">
        <is>
          <t>附件当日成交记录</t>
        </is>
      </c>
      <c r="D7" s="12" t="inlineStr">
        <is>
          <t>9/9解锁后可卖</t>
        </is>
      </c>
    </row>
    <row r="8">
      <c r="A8" s="12" t="inlineStr">
        <is>
          <t>联动情景：NE-25%/公用-8%/ETF-12%</t>
        </is>
      </c>
      <c r="B8" s="12" t="inlineStr">
        <is>
          <t>已确认事实</t>
        </is>
      </c>
      <c r="C8" s="12" t="inlineStr">
        <is>
          <t>附件风险预算</t>
        </is>
      </c>
      <c r="D8" s="12" t="inlineStr">
        <is>
          <t>—</t>
        </is>
      </c>
    </row>
    <row r="9">
      <c r="A9" s="12" t="inlineStr">
        <is>
          <t>次日新能源-5%为敏感性情景</t>
        </is>
      </c>
      <c r="B9" s="12" t="inlineStr">
        <is>
          <t>用户指定</t>
        </is>
      </c>
      <c r="C9" s="12" t="inlineStr">
        <is>
          <t>题面要求</t>
        </is>
      </c>
      <c r="D9" s="12" t="inlineStr">
        <is>
          <t>以实际开盘价重算</t>
        </is>
      </c>
    </row>
    <row r="10">
      <c r="A10" s="12" t="inlineStr">
        <is>
          <t>缺少实时盘口/涨跌停状态</t>
        </is>
      </c>
      <c r="B10" s="12" t="inlineStr">
        <is>
          <t>仍缺证据</t>
        </is>
      </c>
      <c r="C10" s="12" t="inlineStr">
        <is>
          <t>附件：成交前须复核</t>
        </is>
      </c>
      <c r="D10" s="12" t="inlineStr">
        <is>
          <t>实际成交后按真实价与费用重算权重与损失率</t>
        </is>
      </c>
    </row>
    <row r="11">
      <c r="A11" s="12" t="inlineStr">
        <is>
          <t>无其他账户资产、无负债</t>
        </is>
      </c>
      <c r="B11" s="12" t="inlineStr">
        <is>
          <t>已确认事实</t>
        </is>
      </c>
      <c r="C11" s="12" t="inlineStr">
        <is>
          <t>附件：无负债/融资/质押</t>
        </is>
      </c>
      <c r="D11" s="12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2026-09-18T09:01:40Z</dcterms:created>
  <dcterms:modified xmlns:dcterms="http://purl.org/dc/terms/" xmlns:xsi="http://www.w3.org/2001/XMLSchema-instance" xsi:type="dcterms:W3CDTF">2026-09-18T09:01:40Z</dcterms:modified>
</cp:coreProperties>
</file>