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摘要" sheetId="1" state="visible" r:id="rId1"/>
    <sheet xmlns:r="http://schemas.openxmlformats.org/officeDocument/2006/relationships" name="输入快照" sheetId="2" state="visible" r:id="rId2"/>
    <sheet xmlns:r="http://schemas.openxmlformats.org/officeDocument/2006/relationships" name="账户勾稽" sheetId="3" state="visible" r:id="rId3"/>
    <sheet xmlns:r="http://schemas.openxmlformats.org/officeDocument/2006/relationships" name="批次台账与盈亏" sheetId="4" state="visible" r:id="rId4"/>
    <sheet xmlns:r="http://schemas.openxmlformats.org/officeDocument/2006/relationships" name="交易日历" sheetId="5" state="visible" r:id="rId5"/>
    <sheet xmlns:r="http://schemas.openxmlformats.org/officeDocument/2006/relationships" name="硬约束状态" sheetId="6" state="visible" r:id="rId6"/>
    <sheet xmlns:r="http://schemas.openxmlformats.org/officeDocument/2006/relationships" name="情景与压力" sheetId="7" state="visible" r:id="rId7"/>
    <sheet xmlns:r="http://schemas.openxmlformats.org/officeDocument/2006/relationships" name="交易方案与费用" sheetId="8" state="visible" r:id="rId8"/>
    <sheet xmlns:r="http://schemas.openxmlformats.org/officeDocument/2006/relationships" name="条件规则" sheetId="9" state="visible" r:id="rId9"/>
    <sheet xmlns:r="http://schemas.openxmlformats.org/officeDocument/2006/relationships" name="假设与缺失清单" sheetId="10" state="visible" r:id="rId10"/>
    <sheet xmlns:r="http://schemas.openxmlformats.org/officeDocument/2006/relationships" name="核验结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</font>
    <font>
      <b val="1"/>
      <color rgb="00FFFFFF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0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0" fillId="5" borderId="1" pivotButton="0" quotePrefix="0" xfId="0"/>
    <xf numFmtId="0" fontId="5" fillId="0" borderId="0" pivotButton="0" quotePrefix="0" xfId="0"/>
    <xf numFmtId="3" fontId="0" fillId="0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组合持仓诊断与交易纪律（资料截点 2026-08-14 17:00 北京时间）</t>
        </is>
      </c>
    </row>
    <row r="2">
      <c r="A2" s="2" t="inlineStr">
        <is>
          <t>用途：调仓前诊断，不代表已下单；不融资融券、不使用附件外行情、不以保收益为依据</t>
        </is>
      </c>
    </row>
    <row r="4">
      <c r="A4" s="3" t="inlineStr">
        <is>
          <t>一、结论先行</t>
        </is>
      </c>
    </row>
    <row r="5">
      <c r="A5" s="4" t="inlineStr">
        <is>
          <t>采用总资产口径</t>
        </is>
      </c>
      <c r="B5" s="5" t="inlineStr">
        <is>
          <t>1,032,660 元（托管系统，可与明细逐项勾稽）</t>
        </is>
      </c>
      <c r="C5" s="5" t="n"/>
      <c r="D5" s="5" t="n"/>
      <c r="E5" s="5" t="inlineStr">
        <is>
          <t>组合经理手工 1,029,000 元，差额 3,660 元为未决残差，不平账</t>
        </is>
      </c>
    </row>
    <row r="6">
      <c r="A6" s="4" t="inlineStr">
        <is>
          <t>最紧约束</t>
        </is>
      </c>
      <c r="B6" s="5" t="inlineStr">
        <is>
          <t>科技主题 66.8%（上限40%）、高风险等级 53.2%（上限45%）</t>
        </is>
      </c>
      <c r="C6" s="5" t="n"/>
      <c r="D6" s="5" t="n"/>
      <c r="E6" s="5" t="inlineStr">
        <is>
          <t>双双大幅超限，且 P02 跌停、P04 停牌无法卖出，是本次调仓核心</t>
        </is>
      </c>
    </row>
    <row r="7">
      <c r="A7" s="4" t="inlineStr">
        <is>
          <t>首要动作</t>
        </is>
      </c>
      <c r="B7" s="5" t="inlineStr">
        <is>
          <t>周一(8/17)起：清仓 P01 5000股、P05 减200股、P07 减9000份</t>
        </is>
      </c>
      <c r="C7" s="5" t="n"/>
      <c r="D7" s="5" t="n"/>
      <c r="E7" s="5" t="inlineStr">
        <is>
          <t>不依赖 P02 成交即可把四项硬约束全部拉回限内</t>
        </is>
      </c>
    </row>
    <row r="8">
      <c r="A8" s="4" t="inlineStr">
        <is>
          <t>最迟行动日</t>
        </is>
      </c>
      <c r="B8" s="5" t="inlineStr">
        <is>
          <t>2026-08-21（周五）前完成主方案三笔卖出</t>
        </is>
      </c>
      <c r="C8" s="5" t="n"/>
      <c r="D8" s="5" t="n"/>
      <c r="E8" s="5" t="inlineStr">
        <is>
          <t>5万元转出已被现有人民币现金覆盖，卖出是为合规而非为筹款</t>
        </is>
      </c>
    </row>
    <row r="10">
      <c r="A10" s="3" t="inlineStr">
        <is>
          <t>二、首屏决策指标卡</t>
        </is>
      </c>
    </row>
    <row r="11">
      <c r="A11" s="6" t="inlineStr">
        <is>
          <t>指标</t>
        </is>
      </c>
      <c r="B11" s="6" t="inlineStr">
        <is>
          <t>数值</t>
        </is>
      </c>
      <c r="C11" s="6" t="inlineStr">
        <is>
          <t>指标</t>
        </is>
      </c>
      <c r="D11" s="6" t="inlineStr">
        <is>
          <t>数值</t>
        </is>
      </c>
    </row>
    <row r="12">
      <c r="A12" s="5" t="inlineStr">
        <is>
          <t>总资产（托管/转出前）</t>
        </is>
      </c>
      <c r="B12" s="5" t="inlineStr">
        <is>
          <t>1,032,660 元</t>
        </is>
      </c>
      <c r="C12" s="5" t="inlineStr">
        <is>
          <t>总资产（转出后、交易前）</t>
        </is>
      </c>
      <c r="D12" s="5" t="inlineStr">
        <is>
          <t>982,660 元</t>
        </is>
      </c>
    </row>
    <row r="13">
      <c r="A13" s="5" t="inlineStr">
        <is>
          <t>P05 单票权重</t>
        </is>
      </c>
      <c r="B13" s="5" t="inlineStr">
        <is>
          <t>20.34% → 主方案 19.24%</t>
        </is>
      </c>
      <c r="C13" s="5" t="inlineStr">
        <is>
          <t>科技主题权重</t>
        </is>
      </c>
      <c r="D13" s="5" t="inlineStr">
        <is>
          <t>66.8% → 主方案 38.51%</t>
        </is>
      </c>
    </row>
    <row r="14">
      <c r="A14" s="5" t="inlineStr">
        <is>
          <t>高风险等级权重</t>
        </is>
      </c>
      <c r="B14" s="5" t="inlineStr">
        <is>
          <t>53.2% → 主方案 37.07%</t>
        </is>
      </c>
      <c r="C14" s="5" t="inlineStr">
        <is>
          <t>外币敞口(含美元现金)</t>
        </is>
      </c>
      <c r="D14" s="5" t="inlineStr">
        <is>
          <t>16.52% → 主方案 3.63%</t>
        </is>
      </c>
    </row>
    <row r="15">
      <c r="A15" s="5" t="inlineStr">
        <is>
          <t>现金类占比(转出后)</t>
        </is>
      </c>
      <c r="B15" s="5" t="inlineStr">
        <is>
          <t>11.61% → 主方案 43.3%</t>
        </is>
      </c>
      <c r="C15" s="5" t="inlineStr">
        <is>
          <t>主方案费用合计</t>
        </is>
      </c>
      <c r="D15" s="5" t="inlineStr">
        <is>
          <t>274.68 元</t>
        </is>
      </c>
    </row>
    <row r="16">
      <c r="A16" s="5" t="inlineStr">
        <is>
          <t>主方案实现盈亏(扣费后)</t>
        </is>
      </c>
      <c r="B16" s="5" t="inlineStr">
        <is>
          <t>-37,012.68 元</t>
        </is>
      </c>
      <c r="C16" s="5" t="inlineStr">
        <is>
          <t>主方案后总资产</t>
        </is>
      </c>
      <c r="D16" s="5" t="inlineStr">
        <is>
          <t>982,385 元</t>
        </is>
      </c>
    </row>
  </sheetData>
  <mergeCells count="6">
    <mergeCell ref="B5:D5"/>
    <mergeCell ref="A2:E2"/>
    <mergeCell ref="B8:D8"/>
    <mergeCell ref="A1:E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30" customWidth="1" min="12" max="12"/>
  </cols>
  <sheetData>
    <row r="1">
      <c r="A1" s="1" t="inlineStr">
        <is>
          <t>原始记录（自附件《持仓快照与交易状态.xlsx》原样保留，浅灰底为输入，勿改）</t>
        </is>
      </c>
    </row>
    <row r="3">
      <c r="A3" s="7" t="inlineStr">
        <is>
          <t>证券ID</t>
        </is>
      </c>
      <c r="B3" s="7" t="inlineStr">
        <is>
          <t>类型</t>
        </is>
      </c>
      <c r="C3" s="7" t="inlineStr">
        <is>
          <t>行业/主题</t>
        </is>
      </c>
      <c r="D3" s="7" t="inlineStr">
        <is>
          <t>批次日</t>
        </is>
      </c>
      <c r="E3" s="7" t="inlineStr">
        <is>
          <t>数量</t>
        </is>
      </c>
      <c r="F3" s="7" t="inlineStr">
        <is>
          <t>单位成本</t>
        </is>
      </c>
      <c r="G3" s="7" t="inlineStr">
        <is>
          <t>成本币种</t>
        </is>
      </c>
      <c r="H3" s="7" t="inlineStr">
        <is>
          <t>当日买入</t>
        </is>
      </c>
      <c r="I3" s="7" t="inlineStr">
        <is>
          <t>现价</t>
        </is>
      </c>
      <c r="J3" s="7" t="inlineStr">
        <is>
          <t>价格币种</t>
        </is>
      </c>
      <c r="K3" s="7" t="inlineStr">
        <is>
          <t>可卖数量</t>
        </is>
      </c>
      <c r="L3" s="7" t="inlineStr">
        <is>
          <t>交易/涨跌停状态</t>
        </is>
      </c>
    </row>
    <row r="4">
      <c r="A4" s="8" t="inlineStr">
        <is>
          <t>P01</t>
        </is>
      </c>
      <c r="B4" s="8" t="inlineStr">
        <is>
          <t>A股</t>
        </is>
      </c>
      <c r="C4" s="8" t="inlineStr">
        <is>
          <t>电子</t>
        </is>
      </c>
      <c r="D4" s="8" t="inlineStr">
        <is>
          <t>2026-05-10</t>
        </is>
      </c>
      <c r="E4" s="8" t="n">
        <v>2500</v>
      </c>
      <c r="F4" s="8" t="n">
        <v>43.2</v>
      </c>
      <c r="G4" s="8" t="inlineStr">
        <is>
          <t>人民币</t>
        </is>
      </c>
      <c r="H4" s="8" t="inlineStr">
        <is>
          <t>否</t>
        </is>
      </c>
      <c r="I4" s="8" t="n">
        <v>32.8</v>
      </c>
      <c r="J4" s="8" t="inlineStr">
        <is>
          <t>人民币</t>
        </is>
      </c>
      <c r="K4" s="8" t="n">
        <v>4000</v>
      </c>
      <c r="L4" s="8" t="inlineStr">
        <is>
          <t>正常</t>
        </is>
      </c>
    </row>
    <row r="5">
      <c r="A5" s="8" t="inlineStr">
        <is>
          <t>P01</t>
        </is>
      </c>
      <c r="B5" s="8" t="inlineStr">
        <is>
          <t>A股</t>
        </is>
      </c>
      <c r="C5" s="8" t="inlineStr">
        <is>
          <t>电子</t>
        </is>
      </c>
      <c r="D5" s="8" t="inlineStr">
        <is>
          <t>2026-07-02</t>
        </is>
      </c>
      <c r="E5" s="8" t="n">
        <v>1500</v>
      </c>
      <c r="F5" s="8" t="n">
        <v>37.5</v>
      </c>
      <c r="G5" s="8" t="inlineStr">
        <is>
          <t>人民币</t>
        </is>
      </c>
      <c r="H5" s="8" t="inlineStr">
        <is>
          <t>否</t>
        </is>
      </c>
      <c r="I5" s="8" t="n">
        <v>32.8</v>
      </c>
      <c r="J5" s="8" t="inlineStr">
        <is>
          <t>人民币</t>
        </is>
      </c>
      <c r="K5" s="8" t="n">
        <v>4000</v>
      </c>
      <c r="L5" s="8" t="inlineStr">
        <is>
          <t>正常</t>
        </is>
      </c>
    </row>
    <row r="6">
      <c r="A6" s="8" t="inlineStr">
        <is>
          <t>P01</t>
        </is>
      </c>
      <c r="B6" s="8" t="inlineStr">
        <is>
          <t>A股</t>
        </is>
      </c>
      <c r="C6" s="8" t="inlineStr">
        <is>
          <t>电子</t>
        </is>
      </c>
      <c r="D6" s="8" t="inlineStr">
        <is>
          <t>2026-08-14</t>
        </is>
      </c>
      <c r="E6" s="8" t="n">
        <v>1000</v>
      </c>
      <c r="F6" s="8" t="n">
        <v>31.9</v>
      </c>
      <c r="G6" s="8" t="inlineStr">
        <is>
          <t>人民币</t>
        </is>
      </c>
      <c r="H6" s="8" t="inlineStr">
        <is>
          <t>是</t>
        </is>
      </c>
      <c r="I6" s="8" t="n">
        <v>32.8</v>
      </c>
      <c r="J6" s="8" t="inlineStr">
        <is>
          <t>人民币</t>
        </is>
      </c>
      <c r="K6" s="8" t="n">
        <v>4000</v>
      </c>
      <c r="L6" s="8" t="inlineStr">
        <is>
          <t>正常</t>
        </is>
      </c>
    </row>
    <row r="7">
      <c r="A7" s="8" t="inlineStr">
        <is>
          <t>P02</t>
        </is>
      </c>
      <c r="B7" s="8" t="inlineStr">
        <is>
          <t>A股</t>
        </is>
      </c>
      <c r="C7" s="8" t="inlineStr">
        <is>
          <t>计算机</t>
        </is>
      </c>
      <c r="D7" s="8" t="inlineStr">
        <is>
          <t>2026-03-18</t>
        </is>
      </c>
      <c r="E7" s="8" t="n">
        <v>3000</v>
      </c>
      <c r="F7" s="8" t="n">
        <v>54.2</v>
      </c>
      <c r="G7" s="8" t="inlineStr">
        <is>
          <t>人民币</t>
        </is>
      </c>
      <c r="H7" s="8" t="inlineStr">
        <is>
          <t>否</t>
        </is>
      </c>
      <c r="I7" s="8" t="n">
        <v>58.4</v>
      </c>
      <c r="J7" s="8" t="inlineStr">
        <is>
          <t>人民币</t>
        </is>
      </c>
      <c r="K7" s="8" t="n">
        <v>3000</v>
      </c>
      <c r="L7" s="8" t="inlineStr">
        <is>
          <t>正常/跌停</t>
        </is>
      </c>
    </row>
    <row r="8">
      <c r="A8" s="8" t="inlineStr">
        <is>
          <t>P03</t>
        </is>
      </c>
      <c r="B8" s="8" t="inlineStr">
        <is>
          <t>A股</t>
        </is>
      </c>
      <c r="C8" s="8" t="inlineStr">
        <is>
          <t>医药</t>
        </is>
      </c>
      <c r="D8" s="8" t="inlineStr">
        <is>
          <t>2026-04-11</t>
        </is>
      </c>
      <c r="E8" s="8" t="n">
        <v>8000</v>
      </c>
      <c r="F8" s="8" t="n">
        <v>10.3</v>
      </c>
      <c r="G8" s="8" t="inlineStr">
        <is>
          <t>人民币</t>
        </is>
      </c>
      <c r="H8" s="8" t="inlineStr">
        <is>
          <t>否</t>
        </is>
      </c>
      <c r="I8" s="8" t="n">
        <v>9.619999999999999</v>
      </c>
      <c r="J8" s="8" t="inlineStr">
        <is>
          <t>人民币</t>
        </is>
      </c>
      <c r="K8" s="8" t="n">
        <v>8000</v>
      </c>
      <c r="L8" s="8" t="inlineStr">
        <is>
          <t>正常</t>
        </is>
      </c>
    </row>
    <row r="9">
      <c r="A9" s="8" t="inlineStr">
        <is>
          <t>P04</t>
        </is>
      </c>
      <c r="B9" s="8" t="inlineStr">
        <is>
          <t>A股</t>
        </is>
      </c>
      <c r="C9" s="8" t="inlineStr">
        <is>
          <t>工业</t>
        </is>
      </c>
      <c r="D9" s="8" t="inlineStr">
        <is>
          <t>2026-01-20</t>
        </is>
      </c>
      <c r="E9" s="8" t="n">
        <v>6000</v>
      </c>
      <c r="F9" s="8" t="n">
        <v>11.9</v>
      </c>
      <c r="G9" s="8" t="inlineStr">
        <is>
          <t>人民币</t>
        </is>
      </c>
      <c r="H9" s="8" t="inlineStr">
        <is>
          <t>否</t>
        </is>
      </c>
      <c r="I9" s="8" t="n">
        <v>12.35</v>
      </c>
      <c r="J9" s="8" t="inlineStr">
        <is>
          <t>人民币</t>
        </is>
      </c>
      <c r="K9" s="8" t="n">
        <v>0</v>
      </c>
      <c r="L9" s="8" t="inlineStr">
        <is>
          <t>停牌(8/14全天,复牌未定)</t>
        </is>
      </c>
    </row>
    <row r="10">
      <c r="A10" s="8" t="inlineStr">
        <is>
          <t>P05</t>
        </is>
      </c>
      <c r="B10" s="8" t="inlineStr">
        <is>
          <t>A股</t>
        </is>
      </c>
      <c r="C10" s="8" t="inlineStr">
        <is>
          <t>计算机</t>
        </is>
      </c>
      <c r="D10" s="8" t="inlineStr">
        <is>
          <t>2025-12-05</t>
        </is>
      </c>
      <c r="E10" s="8" t="n">
        <v>2000</v>
      </c>
      <c r="F10" s="8" t="n">
        <v>82.40000000000001</v>
      </c>
      <c r="G10" s="8" t="inlineStr">
        <is>
          <t>人民币</t>
        </is>
      </c>
      <c r="H10" s="8" t="inlineStr">
        <is>
          <t>否</t>
        </is>
      </c>
      <c r="I10" s="8" t="n">
        <v>105</v>
      </c>
      <c r="J10" s="8" t="inlineStr">
        <is>
          <t>人民币</t>
        </is>
      </c>
      <c r="K10" s="8" t="n">
        <v>2000</v>
      </c>
      <c r="L10" s="8" t="inlineStr">
        <is>
          <t>正常</t>
        </is>
      </c>
    </row>
    <row r="11">
      <c r="A11" s="8" t="inlineStr">
        <is>
          <t>P06</t>
        </is>
      </c>
      <c r="B11" s="8" t="inlineStr">
        <is>
          <t>境内ETF</t>
        </is>
      </c>
      <c r="C11" s="8" t="inlineStr">
        <is>
          <t>红利</t>
        </is>
      </c>
      <c r="D11" s="8" t="inlineStr">
        <is>
          <t>2026-02-06</t>
        </is>
      </c>
      <c r="E11" s="8" t="n">
        <v>10000</v>
      </c>
      <c r="F11" s="8" t="n">
        <v>3.1</v>
      </c>
      <c r="G11" s="8" t="inlineStr">
        <is>
          <t>人民币</t>
        </is>
      </c>
      <c r="H11" s="8" t="inlineStr">
        <is>
          <t>否</t>
        </is>
      </c>
      <c r="I11" s="8" t="n">
        <v>2.88</v>
      </c>
      <c r="J11" s="8" t="inlineStr">
        <is>
          <t>人民币</t>
        </is>
      </c>
      <c r="K11" s="8" t="n">
        <v>10000</v>
      </c>
      <c r="L11" s="8" t="inlineStr">
        <is>
          <t>正常</t>
        </is>
      </c>
    </row>
    <row r="12">
      <c r="A12" s="8" t="inlineStr">
        <is>
          <t>P07</t>
        </is>
      </c>
      <c r="B12" s="8" t="inlineStr">
        <is>
          <t>港股ETF</t>
        </is>
      </c>
      <c r="C12" s="8" t="inlineStr">
        <is>
          <t>海外科技</t>
        </is>
      </c>
      <c r="D12" s="8" t="inlineStr">
        <is>
          <t>2026-06-16</t>
        </is>
      </c>
      <c r="E12" s="8" t="n">
        <v>10000</v>
      </c>
      <c r="F12" s="8" t="n">
        <v>16.4</v>
      </c>
      <c r="G12" s="8" t="inlineStr">
        <is>
          <t>港币</t>
        </is>
      </c>
      <c r="H12" s="8" t="inlineStr">
        <is>
          <t>否</t>
        </is>
      </c>
      <c r="I12" s="8" t="n">
        <v>15.3</v>
      </c>
      <c r="J12" s="8" t="inlineStr">
        <is>
          <t>港币</t>
        </is>
      </c>
      <c r="K12" s="8" t="n">
        <v>10000</v>
      </c>
      <c r="L12" s="8" t="inlineStr">
        <is>
          <t>正常</t>
        </is>
      </c>
    </row>
    <row r="14">
      <c r="A14" s="3" t="inlineStr">
        <is>
          <t>账户汇总（原样）</t>
        </is>
      </c>
    </row>
    <row r="15">
      <c r="A15" s="7" t="inlineStr">
        <is>
          <t>字段</t>
        </is>
      </c>
      <c r="B15" s="7" t="inlineStr">
        <is>
          <t>数值</t>
        </is>
      </c>
      <c r="C15" s="7" t="inlineStr">
        <is>
          <t>单位</t>
        </is>
      </c>
      <c r="D15" s="7" t="inlineStr">
        <is>
          <t>来源</t>
        </is>
      </c>
    </row>
    <row r="16">
      <c r="A16" s="8" t="inlineStr">
        <is>
          <t>证券市值小计</t>
        </is>
      </c>
      <c r="B16" s="8" t="n">
        <v>869820</v>
      </c>
      <c r="C16" s="8" t="inlineStr">
        <is>
          <t>人民币元</t>
        </is>
      </c>
      <c r="D16" s="8" t="inlineStr">
        <is>
          <t>托管系统</t>
        </is>
      </c>
    </row>
    <row r="17">
      <c r="A17" s="8" t="inlineStr">
        <is>
          <t>人民币可用现金</t>
        </is>
      </c>
      <c r="B17" s="8" t="n">
        <v>142500</v>
      </c>
      <c r="C17" s="8" t="inlineStr">
        <is>
          <t>人民币元</t>
        </is>
      </c>
      <c r="D17" s="8" t="inlineStr">
        <is>
          <t>资金系统</t>
        </is>
      </c>
    </row>
    <row r="18">
      <c r="A18" s="8" t="inlineStr">
        <is>
          <t>美元现金</t>
        </is>
      </c>
      <c r="B18" s="8" t="n">
        <v>3000</v>
      </c>
      <c r="C18" s="8" t="inlineStr">
        <is>
          <t>美元</t>
        </is>
      </c>
      <c r="D18" s="8" t="inlineStr">
        <is>
          <t>资金系统</t>
        </is>
      </c>
    </row>
    <row r="19">
      <c r="A19" s="8" t="inlineStr">
        <is>
          <t>美元兑人民币汇率</t>
        </is>
      </c>
      <c r="B19" s="8" t="n">
        <v>7.18</v>
      </c>
      <c r="C19" s="8" t="inlineStr">
        <is>
          <t>人民币/美元</t>
        </is>
      </c>
      <c r="D19" s="8" t="inlineStr">
        <is>
          <t>内部估值表</t>
        </is>
      </c>
    </row>
    <row r="20">
      <c r="A20" s="8" t="inlineStr">
        <is>
          <t>港币兑人民币估值汇率</t>
        </is>
      </c>
      <c r="B20" s="8" t="n">
        <v>0.92</v>
      </c>
      <c r="C20" s="8" t="inlineStr">
        <is>
          <t>人民币/港币</t>
        </is>
      </c>
      <c r="D20" s="8" t="inlineStr">
        <is>
          <t>附件说明</t>
        </is>
      </c>
    </row>
    <row r="21">
      <c r="A21" s="8" t="inlineStr">
        <is>
          <t>待扣费用</t>
        </is>
      </c>
      <c r="B21" s="8" t="n">
        <v>1200</v>
      </c>
      <c r="C21" s="8" t="inlineStr">
        <is>
          <t>人民币元</t>
        </is>
      </c>
      <c r="D21" s="8" t="inlineStr">
        <is>
          <t>托管系统</t>
        </is>
      </c>
    </row>
    <row r="22">
      <c r="A22" s="8" t="inlineStr">
        <is>
          <t>账户总资产(托管系统)</t>
        </is>
      </c>
      <c r="B22" s="8" t="n">
        <v>1032660</v>
      </c>
      <c r="C22" s="8" t="inlineStr">
        <is>
          <t>人民币元</t>
        </is>
      </c>
      <c r="D22" s="8" t="inlineStr">
        <is>
          <t>托管系统</t>
        </is>
      </c>
    </row>
    <row r="23">
      <c r="A23" s="8" t="inlineStr">
        <is>
          <t>组合经理手工记录总资产</t>
        </is>
      </c>
      <c r="B23" s="8" t="n">
        <v>1029000</v>
      </c>
      <c r="C23" s="8" t="inlineStr">
        <is>
          <t>人民币元</t>
        </is>
      </c>
      <c r="D23" s="8" t="inlineStr">
        <is>
          <t>组合工作表</t>
        </is>
      </c>
    </row>
    <row r="24">
      <c r="A24" s="8" t="inlineStr">
        <is>
          <t>8/17计划净转出</t>
        </is>
      </c>
      <c r="B24" s="8" t="n">
        <v>50000</v>
      </c>
      <c r="C24" s="8" t="inlineStr">
        <is>
          <t>人民币元</t>
        </is>
      </c>
      <c r="D24" s="8" t="inlineStr">
        <is>
          <t>客户已确认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46" customWidth="1" min="4" max="4"/>
  </cols>
  <sheetData>
    <row r="1">
      <c r="A1" s="1" t="inlineStr">
        <is>
          <t>两套总资产勾稽（不直接择一，并列两锚）</t>
        </is>
      </c>
    </row>
    <row r="2">
      <c r="A2" t="inlineStr">
        <is>
          <t>勾稽项</t>
        </is>
      </c>
      <c r="B2" t="inlineStr">
        <is>
          <t>金额(元)</t>
        </is>
      </c>
      <c r="C2" t="inlineStr">
        <is>
          <t>口径</t>
        </is>
      </c>
      <c r="D2" t="inlineStr">
        <is>
          <t>说明</t>
        </is>
      </c>
    </row>
    <row r="3">
      <c r="A3" s="7" t="n"/>
      <c r="B3" s="7" t="n"/>
      <c r="C3" s="7" t="n"/>
      <c r="D3" s="7" t="n"/>
    </row>
    <row r="4">
      <c r="A4" s="5" t="inlineStr">
        <is>
          <t>证券市值小计（7只持仓按现价折算加总）</t>
        </is>
      </c>
      <c r="B4" s="9" t="n">
        <v>869820</v>
      </c>
      <c r="C4" s="5" t="inlineStr">
        <is>
          <t>人民币元</t>
        </is>
      </c>
      <c r="D4" s="5">
        <f> Σ 数量×现价×汇率；与托管系统 869,820 一致</f>
        <v/>
      </c>
    </row>
    <row r="5">
      <c r="A5" s="5" t="inlineStr">
        <is>
          <t xml:space="preserve">　其中 P07 港股ETF</t>
        </is>
      </c>
      <c r="B5" s="9" t="n">
        <v>140760</v>
      </c>
      <c r="C5" s="5" t="inlineStr">
        <is>
          <t>人民币元</t>
        </is>
      </c>
      <c r="D5" s="5" t="inlineStr">
        <is>
          <t>10,000×15.3港币×0.92</t>
        </is>
      </c>
    </row>
    <row r="6">
      <c r="A6" s="5" t="inlineStr">
        <is>
          <t>人民币可用现金</t>
        </is>
      </c>
      <c r="B6" s="9" t="n">
        <v>142500</v>
      </c>
      <c r="C6" s="5" t="inlineStr">
        <is>
          <t>人民币元</t>
        </is>
      </c>
      <c r="D6" s="5" t="inlineStr">
        <is>
          <t>资金系统</t>
        </is>
      </c>
    </row>
    <row r="7">
      <c r="A7" s="5" t="inlineStr">
        <is>
          <t>美元现金折人民币</t>
        </is>
      </c>
      <c r="B7" s="9" t="n">
        <v>21540</v>
      </c>
      <c r="C7" s="5" t="inlineStr">
        <is>
          <t>人民币元</t>
        </is>
      </c>
      <c r="D7" s="5" t="inlineStr">
        <is>
          <t>3,000美元×7.18</t>
        </is>
      </c>
    </row>
    <row r="8">
      <c r="A8" s="5" t="inlineStr">
        <is>
          <t>减：待扣费用</t>
        </is>
      </c>
      <c r="B8" s="9" t="n">
        <v>-1200</v>
      </c>
      <c r="C8" s="5" t="inlineStr">
        <is>
          <t>人民币元</t>
        </is>
      </c>
      <c r="D8" s="5" t="inlineStr">
        <is>
          <t>托管系统已计提，净资产口径</t>
        </is>
      </c>
    </row>
    <row r="9">
      <c r="A9" s="5" t="inlineStr">
        <is>
          <t>勾稽合计 = 托管系统总资产</t>
        </is>
      </c>
      <c r="B9" s="9" t="n">
        <v>1032660</v>
      </c>
      <c r="C9" s="5" t="inlineStr">
        <is>
          <t>人民币元</t>
        </is>
      </c>
      <c r="D9" s="5" t="inlineStr">
        <is>
          <t>与托管系统记录 1,032,660 完全一致（残差0）</t>
        </is>
      </c>
    </row>
    <row r="10">
      <c r="A10" s="5" t="inlineStr">
        <is>
          <t>组合经理手工记录总资产</t>
        </is>
      </c>
      <c r="B10" s="9" t="n">
        <v>1029000</v>
      </c>
      <c r="C10" s="5" t="inlineStr">
        <is>
          <t>人民币元</t>
        </is>
      </c>
      <c r="D10" s="5" t="inlineStr">
        <is>
          <t>组合工作表 1,029,000</t>
        </is>
      </c>
    </row>
    <row r="11">
      <c r="A11" s="5" t="inlineStr">
        <is>
          <t>两锚差额（未决残差）</t>
        </is>
      </c>
      <c r="B11" s="9" t="n">
        <v>3660</v>
      </c>
      <c r="C11" s="5" t="inlineStr">
        <is>
          <t>人民币元</t>
        </is>
      </c>
      <c r="D11" s="5" t="inlineStr">
        <is>
          <t>无法由任何明细/汇率复现，不做平账，列入缺失清单</t>
        </is>
      </c>
    </row>
    <row r="13">
      <c r="A13" s="3" t="inlineStr">
        <is>
          <t>采用口径：以 1,032,660 元（托管系统）为主分母——它可与每只持仓、每笔现金逐项勾稽；手工记录 1,029,000 元仅作对照。两值相差 0.35%，不改变任何超限结论。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批次台账、成本、浮动盈亏与可卖数量（除权：P06 成本仍为3.1，0.80元/份股息另计）</t>
        </is>
      </c>
    </row>
    <row r="3">
      <c r="A3" s="7" t="inlineStr">
        <is>
          <t>证券ID</t>
        </is>
      </c>
      <c r="B3" s="7" t="inlineStr">
        <is>
          <t>批次日</t>
        </is>
      </c>
      <c r="C3" s="7" t="inlineStr">
        <is>
          <t>数量</t>
        </is>
      </c>
      <c r="D3" s="7" t="inlineStr">
        <is>
          <t>单位成本</t>
        </is>
      </c>
      <c r="E3" s="7" t="inlineStr">
        <is>
          <t>成本(人民币)</t>
        </is>
      </c>
      <c r="F3" s="7" t="inlineStr">
        <is>
          <t>现价</t>
        </is>
      </c>
      <c r="G3" s="7" t="inlineStr">
        <is>
          <t>市值(人民币)</t>
        </is>
      </c>
      <c r="H3" s="7" t="inlineStr">
        <is>
          <t>浮动盈亏(价)</t>
        </is>
      </c>
      <c r="I3" s="7" t="inlineStr">
        <is>
          <t>股息/总回报</t>
        </is>
      </c>
      <c r="J3" s="7" t="inlineStr">
        <is>
          <t>可卖数量</t>
        </is>
      </c>
      <c r="K3" s="7" t="inlineStr">
        <is>
          <t>最小单位</t>
        </is>
      </c>
      <c r="L3" s="7" t="inlineStr">
        <is>
          <t>状态与备注</t>
        </is>
      </c>
    </row>
    <row r="4">
      <c r="A4" s="5" t="inlineStr">
        <is>
          <t>P01</t>
        </is>
      </c>
      <c r="B4" s="5" t="inlineStr">
        <is>
          <t>2026-05-10</t>
        </is>
      </c>
      <c r="C4" s="5" t="n">
        <v>2500</v>
      </c>
      <c r="D4" s="5" t="n">
        <v>43.2</v>
      </c>
      <c r="E4" s="9" t="n">
        <v>108000</v>
      </c>
      <c r="F4" s="5" t="n">
        <v>32.8</v>
      </c>
      <c r="G4" s="9" t="n">
        <v>82000</v>
      </c>
      <c r="H4" s="9" t="n">
        <v>-26000</v>
      </c>
      <c r="I4" s="9" t="n">
        <v>0</v>
      </c>
      <c r="J4" s="5" t="n">
        <v>4000</v>
      </c>
      <c r="K4" s="5" t="n">
        <v>100</v>
      </c>
      <c r="L4" s="5" t="inlineStr"/>
    </row>
    <row r="5">
      <c r="A5" s="5" t="inlineStr">
        <is>
          <t>P01</t>
        </is>
      </c>
      <c r="B5" s="5" t="inlineStr">
        <is>
          <t>2026-07-02</t>
        </is>
      </c>
      <c r="C5" s="5" t="n">
        <v>1500</v>
      </c>
      <c r="D5" s="5" t="n">
        <v>37.5</v>
      </c>
      <c r="E5" s="9" t="n">
        <v>56250</v>
      </c>
      <c r="F5" s="5" t="n">
        <v>32.8</v>
      </c>
      <c r="G5" s="9" t="n">
        <v>49199.99999999999</v>
      </c>
      <c r="H5" s="9" t="n">
        <v>-7050.000000000007</v>
      </c>
      <c r="I5" s="9" t="n">
        <v>0</v>
      </c>
      <c r="J5" s="5" t="n">
        <v>4000</v>
      </c>
      <c r="K5" s="5" t="n">
        <v>100</v>
      </c>
      <c r="L5" s="5" t="inlineStr"/>
    </row>
    <row r="6">
      <c r="A6" s="5" t="inlineStr">
        <is>
          <t>P01</t>
        </is>
      </c>
      <c r="B6" s="5" t="inlineStr">
        <is>
          <t>2026-08-14</t>
        </is>
      </c>
      <c r="C6" s="5" t="n">
        <v>1000</v>
      </c>
      <c r="D6" s="5" t="n">
        <v>31.9</v>
      </c>
      <c r="E6" s="9" t="n">
        <v>31900</v>
      </c>
      <c r="F6" s="5" t="n">
        <v>32.8</v>
      </c>
      <c r="G6" s="9" t="n">
        <v>32800</v>
      </c>
      <c r="H6" s="9" t="n">
        <v>900</v>
      </c>
      <c r="I6" s="9" t="n">
        <v>0</v>
      </c>
      <c r="J6" s="5" t="n">
        <v>4000</v>
      </c>
      <c r="K6" s="5" t="n">
        <v>100</v>
      </c>
      <c r="L6" s="5" t="inlineStr">
        <is>
          <t>当日买入，T+1方可卖(周一8/17起可卖)</t>
        </is>
      </c>
    </row>
    <row r="7">
      <c r="A7" s="5" t="inlineStr">
        <is>
          <t>P02</t>
        </is>
      </c>
      <c r="B7" s="5" t="inlineStr">
        <is>
          <t>2026-03-18</t>
        </is>
      </c>
      <c r="C7" s="5" t="n">
        <v>3000</v>
      </c>
      <c r="D7" s="5" t="n">
        <v>54.2</v>
      </c>
      <c r="E7" s="9" t="n">
        <v>162600</v>
      </c>
      <c r="F7" s="5" t="n">
        <v>58.4</v>
      </c>
      <c r="G7" s="9" t="n">
        <v>175200</v>
      </c>
      <c r="H7" s="9" t="n">
        <v>12600</v>
      </c>
      <c r="I7" s="9" t="n">
        <v>0</v>
      </c>
      <c r="J7" s="5" t="n">
        <v>3000</v>
      </c>
      <c r="K7" s="5" t="n">
        <v>100</v>
      </c>
      <c r="L7" s="5" t="inlineStr">
        <is>
          <t>8/14跌停封单，次日成交不确定</t>
        </is>
      </c>
    </row>
    <row r="8">
      <c r="A8" s="5" t="inlineStr">
        <is>
          <t>P03</t>
        </is>
      </c>
      <c r="B8" s="5" t="inlineStr">
        <is>
          <t>2026-04-11</t>
        </is>
      </c>
      <c r="C8" s="5" t="n">
        <v>8000</v>
      </c>
      <c r="D8" s="5" t="n">
        <v>10.3</v>
      </c>
      <c r="E8" s="9" t="n">
        <v>82400</v>
      </c>
      <c r="F8" s="5" t="n">
        <v>9.619999999999999</v>
      </c>
      <c r="G8" s="9" t="n">
        <v>76960</v>
      </c>
      <c r="H8" s="9" t="n">
        <v>-5440</v>
      </c>
      <c r="I8" s="9" t="n">
        <v>0</v>
      </c>
      <c r="J8" s="5" t="n">
        <v>8000</v>
      </c>
      <c r="K8" s="5" t="n">
        <v>100</v>
      </c>
      <c r="L8" s="5" t="inlineStr"/>
    </row>
    <row r="9">
      <c r="A9" s="5" t="inlineStr">
        <is>
          <t>P04</t>
        </is>
      </c>
      <c r="B9" s="5" t="inlineStr">
        <is>
          <t>2026-01-20</t>
        </is>
      </c>
      <c r="C9" s="5" t="n">
        <v>6000</v>
      </c>
      <c r="D9" s="5" t="n">
        <v>11.9</v>
      </c>
      <c r="E9" s="9" t="n">
        <v>71400</v>
      </c>
      <c r="F9" s="5" t="n">
        <v>12.35</v>
      </c>
      <c r="G9" s="9" t="n">
        <v>74100</v>
      </c>
      <c r="H9" s="9" t="n">
        <v>2700</v>
      </c>
      <c r="I9" s="9" t="n">
        <v>0</v>
      </c>
      <c r="J9" s="5" t="n">
        <v>0</v>
      </c>
      <c r="K9" s="5" t="n">
        <v>100</v>
      </c>
      <c r="L9" s="5" t="inlineStr">
        <is>
          <t>8/14起停牌，价为8/13收盘价，可卖=0</t>
        </is>
      </c>
    </row>
    <row r="10">
      <c r="A10" s="5" t="inlineStr">
        <is>
          <t>P05</t>
        </is>
      </c>
      <c r="B10" s="5" t="inlineStr">
        <is>
          <t>2025-12-05</t>
        </is>
      </c>
      <c r="C10" s="5" t="n">
        <v>2000</v>
      </c>
      <c r="D10" s="5" t="n">
        <v>82.40000000000001</v>
      </c>
      <c r="E10" s="9" t="n">
        <v>164800</v>
      </c>
      <c r="F10" s="5" t="n">
        <v>105</v>
      </c>
      <c r="G10" s="9" t="n">
        <v>210000</v>
      </c>
      <c r="H10" s="9" t="n">
        <v>45200</v>
      </c>
      <c r="I10" s="9" t="n">
        <v>0</v>
      </c>
      <c r="J10" s="5" t="n">
        <v>2000</v>
      </c>
      <c r="K10" s="5" t="n">
        <v>100</v>
      </c>
      <c r="L10" s="5" t="inlineStr"/>
    </row>
    <row r="11">
      <c r="A11" s="5" t="inlineStr">
        <is>
          <t>P06</t>
        </is>
      </c>
      <c r="B11" s="5" t="inlineStr">
        <is>
          <t>2026-02-06</t>
        </is>
      </c>
      <c r="C11" s="5" t="n">
        <v>10000</v>
      </c>
      <c r="D11" s="5" t="n">
        <v>3.1</v>
      </c>
      <c r="E11" s="9" t="n">
        <v>31000</v>
      </c>
      <c r="F11" s="5" t="n">
        <v>2.88</v>
      </c>
      <c r="G11" s="9" t="n">
        <v>28800</v>
      </c>
      <c r="H11" s="9" t="n">
        <v>-2200</v>
      </c>
      <c r="I11" s="9" t="n">
        <v>8000</v>
      </c>
      <c r="J11" s="5" t="n">
        <v>10000</v>
      </c>
      <c r="K11" s="5" t="n">
        <v>100</v>
      </c>
      <c r="L11" s="5" t="inlineStr">
        <is>
          <t>8/12每份派息0.80元(已到账)；8/11未调收盘3.68，除息参考2.88；成本不被参考价替换</t>
        </is>
      </c>
    </row>
    <row r="12">
      <c r="A12" s="5" t="inlineStr">
        <is>
          <t>P07</t>
        </is>
      </c>
      <c r="B12" s="5" t="inlineStr">
        <is>
          <t>2026-06-16</t>
        </is>
      </c>
      <c r="C12" s="5" t="n">
        <v>10000</v>
      </c>
      <c r="D12" s="5" t="n">
        <v>16.4</v>
      </c>
      <c r="E12" s="9" t="n">
        <v>150880</v>
      </c>
      <c r="F12" s="5" t="n">
        <v>15.3</v>
      </c>
      <c r="G12" s="9" t="n">
        <v>140760</v>
      </c>
      <c r="H12" s="9" t="n">
        <v>-10120</v>
      </c>
      <c r="I12" s="9" t="n">
        <v>0</v>
      </c>
      <c r="J12" s="5" t="n">
        <v>10000</v>
      </c>
      <c r="K12" s="5" t="n">
        <v>500</v>
      </c>
      <c r="L12" s="5" t="inlineStr"/>
    </row>
    <row r="13">
      <c r="A13" s="10" t="inlineStr">
        <is>
          <t>合计</t>
        </is>
      </c>
      <c r="B13" s="10" t="inlineStr"/>
      <c r="C13" s="10" t="n">
        <v>44000</v>
      </c>
      <c r="D13" s="10" t="inlineStr"/>
      <c r="E13" s="10" t="n">
        <v>859230</v>
      </c>
      <c r="F13" s="10" t="inlineStr"/>
      <c r="G13" s="11" t="n">
        <v>869820</v>
      </c>
      <c r="H13" s="11" t="n">
        <v>10589.99999999999</v>
      </c>
      <c r="I13" s="10" t="n">
        <v>8000</v>
      </c>
      <c r="J13" s="10" t="inlineStr"/>
      <c r="K13" s="10" t="inlineStr"/>
      <c r="L13" s="10" t="inlineStr">
        <is>
          <t>价口径浮动盈亏 10,590；加P06已收股息8,000 → 总回报 18,590</t>
        </is>
      </c>
    </row>
    <row r="15">
      <c r="A15" s="3" t="inlineStr">
        <is>
          <t>可卖数量台账校验</t>
        </is>
      </c>
    </row>
    <row r="16">
      <c r="A16" t="inlineStr">
        <is>
          <t>P01 可卖</t>
        </is>
      </c>
      <c r="B16" t="inlineStr">
        <is>
          <t>4,000 = 2500(5/10)+1500(7/2)；今日买入1000周一解冻</t>
        </is>
      </c>
    </row>
    <row r="17">
      <c r="A17" t="inlineStr">
        <is>
          <t>P02 可卖</t>
        </is>
      </c>
      <c r="B17" t="inlineStr">
        <is>
          <t>3,000，但跌停→不可假定成交</t>
        </is>
      </c>
    </row>
    <row r="18">
      <c r="A18" t="inlineStr">
        <is>
          <t>P04 可卖</t>
        </is>
      </c>
      <c r="B18" t="inlineStr">
        <is>
          <t>0（停牌）</t>
        </is>
      </c>
    </row>
    <row r="19">
      <c r="A19" t="inlineStr">
        <is>
          <t>P07 可卖</t>
        </is>
      </c>
      <c r="B19" t="inlineStr">
        <is>
          <t>10,000，最小单位500</t>
        </is>
      </c>
    </row>
    <row r="20">
      <c r="A20" t="inlineStr">
        <is>
          <t>其余</t>
        </is>
      </c>
      <c r="B20" t="inlineStr">
        <is>
          <t>P03/P05/P06 全额可卖，状态正常</t>
        </is>
      </c>
    </row>
  </sheetData>
  <mergeCells count="6">
    <mergeCell ref="B16:L16"/>
    <mergeCell ref="A1:L1"/>
    <mergeCell ref="B19:L19"/>
    <mergeCell ref="B20:L20"/>
    <mergeCell ref="B17:L17"/>
    <mergeCell ref="B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4" customWidth="1" min="4" max="4"/>
    <col width="20" customWidth="1" min="5" max="5"/>
    <col width="30" customWidth="1" min="6" max="6"/>
  </cols>
  <sheetData>
    <row r="1">
      <c r="A1" s="1" t="inlineStr">
        <is>
          <t>交易日历（行动日仅取自本表；非交易日不列为可执行日）</t>
        </is>
      </c>
    </row>
    <row r="3">
      <c r="A3" s="7" t="inlineStr">
        <is>
          <t>日历日</t>
        </is>
      </c>
      <c r="B3" s="7" t="inlineStr">
        <is>
          <t>星期</t>
        </is>
      </c>
      <c r="C3" s="7" t="inlineStr">
        <is>
          <t>是否交易日</t>
        </is>
      </c>
      <c r="D3" s="7" t="inlineStr">
        <is>
          <t>可执行时段说明</t>
        </is>
      </c>
      <c r="E3" s="7" t="inlineStr">
        <is>
          <t>资金可划转</t>
        </is>
      </c>
      <c r="F3" s="7" t="inlineStr">
        <is>
          <t>备注</t>
        </is>
      </c>
    </row>
    <row r="4">
      <c r="A4" s="5" t="inlineStr">
        <is>
          <t>2026-08-14</t>
        </is>
      </c>
      <c r="B4" s="5" t="inlineStr">
        <is>
          <t>周五</t>
        </is>
      </c>
      <c r="C4" s="5" t="inlineStr">
        <is>
          <t>是</t>
        </is>
      </c>
      <c r="D4" s="5" t="inlineStr">
        <is>
          <t>已收盘(17:00截点)</t>
        </is>
      </c>
      <c r="E4" s="5" t="inlineStr">
        <is>
          <t>—</t>
        </is>
      </c>
      <c r="F4" s="5" t="inlineStr">
        <is>
          <t>P02跌停封单、P04停牌；P01当日买入1000股T+1</t>
        </is>
      </c>
    </row>
    <row r="5">
      <c r="A5" s="8" t="inlineStr">
        <is>
          <t>2026-08-15</t>
        </is>
      </c>
      <c r="B5" s="8" t="inlineStr">
        <is>
          <t>周六</t>
        </is>
      </c>
      <c r="C5" s="8" t="inlineStr">
        <is>
          <t>否</t>
        </is>
      </c>
      <c r="D5" s="8" t="inlineStr">
        <is>
          <t>休市</t>
        </is>
      </c>
      <c r="E5" s="8" t="inlineStr">
        <is>
          <t>否</t>
        </is>
      </c>
      <c r="F5" s="8" t="inlineStr"/>
    </row>
    <row r="6">
      <c r="A6" s="8" t="inlineStr">
        <is>
          <t>2026-08-16</t>
        </is>
      </c>
      <c r="B6" s="8" t="inlineStr">
        <is>
          <t>周日</t>
        </is>
      </c>
      <c r="C6" s="8" t="inlineStr">
        <is>
          <t>否</t>
        </is>
      </c>
      <c r="D6" s="8" t="inlineStr">
        <is>
          <t>休市</t>
        </is>
      </c>
      <c r="E6" s="8" t="inlineStr">
        <is>
          <t>否</t>
        </is>
      </c>
      <c r="F6" s="8" t="inlineStr"/>
    </row>
    <row r="7">
      <c r="A7" s="5" t="inlineStr">
        <is>
          <t>2026-08-17</t>
        </is>
      </c>
      <c r="B7" s="5" t="inlineStr">
        <is>
          <t>周一</t>
        </is>
      </c>
      <c r="C7" s="5" t="inlineStr">
        <is>
          <t>是</t>
        </is>
      </c>
      <c r="D7" s="5" t="inlineStr">
        <is>
          <t>09:30-15:00</t>
        </is>
      </c>
      <c r="E7" s="5" t="inlineStr">
        <is>
          <t>当日可划出</t>
        </is>
      </c>
      <c r="F7" s="5" t="inlineStr">
        <is>
          <t>客户确认净转出50,000元；P01 1000股解冻可卖；主方案下单日</t>
        </is>
      </c>
    </row>
    <row r="8">
      <c r="A8" s="5" t="inlineStr">
        <is>
          <t>2026-08-18</t>
        </is>
      </c>
      <c r="B8" s="5" t="inlineStr">
        <is>
          <t>周二</t>
        </is>
      </c>
      <c r="C8" s="5" t="inlineStr">
        <is>
          <t>是</t>
        </is>
      </c>
      <c r="D8" s="5" t="inlineStr">
        <is>
          <t>09:30-15:00</t>
        </is>
      </c>
      <c r="E8" s="5" t="inlineStr">
        <is>
          <t>是</t>
        </is>
      </c>
      <c r="F8" s="5" t="inlineStr">
        <is>
          <t>复核 P02 是否开板；补单/后手执行</t>
        </is>
      </c>
    </row>
    <row r="9">
      <c r="A9" s="5" t="inlineStr">
        <is>
          <t>2026-08-19</t>
        </is>
      </c>
      <c r="B9" s="5" t="inlineStr">
        <is>
          <t>周三</t>
        </is>
      </c>
      <c r="C9" s="5" t="inlineStr">
        <is>
          <t>是</t>
        </is>
      </c>
      <c r="D9" s="5" t="inlineStr">
        <is>
          <t>09:30-15:00</t>
        </is>
      </c>
      <c r="E9" s="5" t="inlineStr">
        <is>
          <t>是</t>
        </is>
      </c>
      <c r="F9" s="5" t="inlineStr"/>
    </row>
    <row r="10">
      <c r="A10" s="5" t="inlineStr">
        <is>
          <t>2026-08-20</t>
        </is>
      </c>
      <c r="B10" s="5" t="inlineStr">
        <is>
          <t>周四</t>
        </is>
      </c>
      <c r="C10" s="5" t="inlineStr">
        <is>
          <t>是</t>
        </is>
      </c>
      <c r="D10" s="5" t="inlineStr">
        <is>
          <t>09:30-15:00</t>
        </is>
      </c>
      <c r="E10" s="5" t="inlineStr">
        <is>
          <t>是</t>
        </is>
      </c>
      <c r="F10" s="5" t="inlineStr"/>
    </row>
    <row r="11">
      <c r="A11" s="5" t="inlineStr">
        <is>
          <t>2026-08-21</t>
        </is>
      </c>
      <c r="B11" s="5" t="inlineStr">
        <is>
          <t>周五</t>
        </is>
      </c>
      <c r="C11" s="5" t="inlineStr">
        <is>
          <t>是</t>
        </is>
      </c>
      <c r="D11" s="5" t="inlineStr">
        <is>
          <t>09:30-15:00</t>
        </is>
      </c>
      <c r="E11" s="5" t="inlineStr">
        <is>
          <t>是</t>
        </is>
      </c>
      <c r="F11" s="5" t="inlineStr">
        <is>
          <t>主方案最迟完成日；收盘后复核五项硬约束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30" customWidth="1" min="8" max="8"/>
  </cols>
  <sheetData>
    <row r="1">
      <c r="A1" s="1" t="inlineStr">
        <is>
          <t>硬约束状态表（主方案=交易后且转出后净资产；判定取最不利口径）</t>
        </is>
      </c>
    </row>
    <row r="3">
      <c r="A3" s="7" t="inlineStr">
        <is>
          <t>约束名</t>
        </is>
      </c>
      <c r="B3" s="7" t="inlineStr">
        <is>
          <t>阈值</t>
        </is>
      </c>
      <c r="C3" s="7" t="inlineStr">
        <is>
          <t>未调整(转出前)</t>
        </is>
      </c>
      <c r="D3" s="7" t="inlineStr">
        <is>
          <t>未调整(转出后)</t>
        </is>
      </c>
      <c r="E3" s="7" t="inlineStr">
        <is>
          <t>主方案后</t>
        </is>
      </c>
      <c r="F3" s="7" t="inlineStr">
        <is>
          <t>判定</t>
        </is>
      </c>
      <c r="G3" s="7" t="inlineStr">
        <is>
          <t>绑定/已消除</t>
        </is>
      </c>
      <c r="H3" s="7" t="inlineStr">
        <is>
          <t>达标动作→规则号</t>
        </is>
      </c>
    </row>
    <row r="4">
      <c r="A4" s="5" t="inlineStr">
        <is>
          <t>单票 P05 权重</t>
        </is>
      </c>
      <c r="B4" s="5" t="inlineStr">
        <is>
          <t>≤20%</t>
        </is>
      </c>
      <c r="C4" s="5" t="inlineStr">
        <is>
          <t>20.34%</t>
        </is>
      </c>
      <c r="D4" s="5" t="inlineStr">
        <is>
          <t>21.37%</t>
        </is>
      </c>
      <c r="E4" s="5" t="inlineStr">
        <is>
          <t>19.24%</t>
        </is>
      </c>
      <c r="F4" s="12" t="inlineStr">
        <is>
          <t>达标</t>
        </is>
      </c>
      <c r="G4" s="5" t="inlineStr">
        <is>
          <t>曾绑定→已消除</t>
        </is>
      </c>
      <c r="H4" s="5" t="inlineStr">
        <is>
          <t>R2：卖P05 200股</t>
        </is>
      </c>
    </row>
    <row r="5">
      <c r="A5" s="5" t="inlineStr">
        <is>
          <t>科技主题合计</t>
        </is>
      </c>
      <c r="B5" s="5" t="inlineStr">
        <is>
          <t>≤40%</t>
        </is>
      </c>
      <c r="C5" s="5" t="inlineStr">
        <is>
          <t>66.8%</t>
        </is>
      </c>
      <c r="D5" s="5" t="inlineStr">
        <is>
          <t>70.2%</t>
        </is>
      </c>
      <c r="E5" s="5" t="inlineStr">
        <is>
          <t>38.51%</t>
        </is>
      </c>
      <c r="F5" s="12" t="inlineStr">
        <is>
          <t>达标</t>
        </is>
      </c>
      <c r="G5" s="5" t="inlineStr">
        <is>
          <t>主约束→已消除</t>
        </is>
      </c>
      <c r="H5" s="5" t="inlineStr">
        <is>
          <t>R1清P01+R2减P05+R3减P07</t>
        </is>
      </c>
    </row>
    <row r="6">
      <c r="A6" s="5" t="inlineStr">
        <is>
          <t>内部高风险等级合计</t>
        </is>
      </c>
      <c r="B6" s="5" t="inlineStr">
        <is>
          <t>≤45%</t>
        </is>
      </c>
      <c r="C6" s="5" t="inlineStr">
        <is>
          <t>53.2%</t>
        </is>
      </c>
      <c r="D6" s="5" t="inlineStr">
        <is>
          <t>55.9%</t>
        </is>
      </c>
      <c r="E6" s="5" t="inlineStr">
        <is>
          <t>37.07%</t>
        </is>
      </c>
      <c r="F6" s="12" t="inlineStr">
        <is>
          <t>达标</t>
        </is>
      </c>
      <c r="G6" s="5" t="inlineStr">
        <is>
          <t>主约束→已消除</t>
        </is>
      </c>
      <c r="H6" s="5" t="inlineStr">
        <is>
          <t>R1 清仓P01</t>
        </is>
      </c>
    </row>
    <row r="7">
      <c r="A7" s="5" t="inlineStr">
        <is>
          <t>外币资产(含美元现金)</t>
        </is>
      </c>
      <c r="B7" s="5" t="inlineStr">
        <is>
          <t>≤15%</t>
        </is>
      </c>
      <c r="C7" s="5" t="inlineStr">
        <is>
          <t>15.72%</t>
        </is>
      </c>
      <c r="D7" s="5" t="inlineStr">
        <is>
          <t>16.52%</t>
        </is>
      </c>
      <c r="E7" s="5" t="inlineStr">
        <is>
          <t>3.63%</t>
        </is>
      </c>
      <c r="F7" s="12" t="inlineStr">
        <is>
          <t>达标</t>
        </is>
      </c>
      <c r="G7" s="5" t="inlineStr">
        <is>
          <t>轻微超限→已消除</t>
        </is>
      </c>
      <c r="H7" s="5" t="inlineStr">
        <is>
          <t>R3 减P07至1000份</t>
        </is>
      </c>
    </row>
    <row r="8">
      <c r="A8" s="5" t="inlineStr">
        <is>
          <t>现金类占比(转出后)</t>
        </is>
      </c>
      <c r="B8" s="5" t="inlineStr">
        <is>
          <t>≥10%</t>
        </is>
      </c>
      <c r="C8" s="5" t="inlineStr">
        <is>
          <t>不适用</t>
        </is>
      </c>
      <c r="D8" s="5" t="inlineStr">
        <is>
          <t>11.61%</t>
        </is>
      </c>
      <c r="E8" s="5" t="inlineStr">
        <is>
          <t>43.3%</t>
        </is>
      </c>
      <c r="F8" s="12" t="inlineStr">
        <is>
          <t>达标</t>
        </is>
      </c>
      <c r="G8" s="5" t="inlineStr">
        <is>
          <t>宽松</t>
        </is>
      </c>
      <c r="H8" s="5" t="inlineStr">
        <is>
          <t>现有人民币现金已覆盖5万；卖出后现金约43%</t>
        </is>
      </c>
    </row>
    <row r="10">
      <c r="A10" s="3" t="inlineStr">
        <is>
          <t>占比加总校验</t>
        </is>
      </c>
    </row>
    <row r="11">
      <c r="A11" t="inlineStr">
        <is>
          <t>全部标的权重合计（主方案后）</t>
        </is>
      </c>
      <c r="B11" t="inlineStr">
        <is>
          <t>56.81%</t>
        </is>
      </c>
      <c r="C11" t="inlineStr">
        <is>
          <t>+现金类</t>
        </is>
      </c>
      <c r="D11" t="inlineStr">
        <is>
          <t>43.3%</t>
        </is>
      </c>
      <c r="E11" t="inlineStr">
        <is>
          <t>≈100%</t>
        </is>
      </c>
    </row>
    <row r="12">
      <c r="A12" s="13" t="inlineStr">
        <is>
          <t>注：单票最大为 P05 19.24%；P02 因跌停未卖，仍占 17.83%（见R4后手）。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情景与压力（冲击为分析假设，非附件行情；PASS/FAIL取最不利情景）</t>
        </is>
      </c>
    </row>
    <row r="3">
      <c r="A3" s="7" t="inlineStr">
        <is>
          <t>情景</t>
        </is>
      </c>
      <c r="B3" s="7" t="inlineStr">
        <is>
          <t>冲击路径</t>
        </is>
      </c>
      <c r="C3" s="7" t="inlineStr">
        <is>
          <t>逐日/复合</t>
        </is>
      </c>
      <c r="D3" s="7" t="inlineStr">
        <is>
          <t>损失额(元)</t>
        </is>
      </c>
      <c r="E3" s="7" t="inlineStr">
        <is>
          <t>损失率</t>
        </is>
      </c>
      <c r="F3" s="7" t="inlineStr">
        <is>
          <t>最不利?</t>
        </is>
      </c>
    </row>
    <row r="4">
      <c r="A4" s="5" t="inlineStr">
        <is>
          <t>A 科技成长组回调20%</t>
        </is>
      </c>
      <c r="B4" s="5" t="inlineStr">
        <is>
          <t>P02/P05/P07 同日-20%</t>
        </is>
      </c>
      <c r="C4" s="5" t="inlineStr">
        <is>
          <t>单日冲击</t>
        </is>
      </c>
      <c r="D4" s="14" t="n">
        <v>75655.2</v>
      </c>
      <c r="E4" s="15" t="n">
        <v>0.07701173741892535</v>
      </c>
      <c r="F4" s="5" t="inlineStr">
        <is>
          <t>是(最大)</t>
        </is>
      </c>
    </row>
    <row r="5">
      <c r="A5" s="5" t="inlineStr">
        <is>
          <t>B 全持仓普跌10%</t>
        </is>
      </c>
      <c r="B5" s="5" t="inlineStr">
        <is>
          <t>全部风险持仓-10%</t>
        </is>
      </c>
      <c r="C5" s="5" t="inlineStr">
        <is>
          <t>单日冲击</t>
        </is>
      </c>
      <c r="D5" s="14" t="n">
        <v>55813.60000000001</v>
      </c>
      <c r="E5" s="15" t="n">
        <v>0.05681436712354117</v>
      </c>
      <c r="F5" s="5" t="inlineStr"/>
    </row>
    <row r="6">
      <c r="A6" s="5" t="inlineStr">
        <is>
          <t>C 个股事件</t>
        </is>
      </c>
      <c r="B6" s="5" t="inlineStr">
        <is>
          <t>P02再跌停-10% + P04复牌-15%</t>
        </is>
      </c>
      <c r="C6" s="5" t="inlineStr">
        <is>
          <t>单日冲击</t>
        </is>
      </c>
      <c r="D6" s="14" t="n">
        <v>28635</v>
      </c>
      <c r="E6" s="15" t="n">
        <v>0.02914844056972855</v>
      </c>
      <c r="F6" s="5" t="inlineStr"/>
    </row>
    <row r="8">
      <c r="A8" s="3" t="inlineStr">
        <is>
          <t>对照：调仓前科技组20%冲击损失 137,992 元（13.4%）；调仓后降至 75,655 元（7.70%），现金缓冲 43% 吸收波动。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主方案交易明细（数量=本次初始卖出量，基准=当前持仓；费用逐笔勾稽）</t>
        </is>
      </c>
    </row>
    <row r="3">
      <c r="A3" s="7" t="inlineStr">
        <is>
          <t>证券</t>
        </is>
      </c>
      <c r="B3" s="7" t="inlineStr">
        <is>
          <t>卖出数量</t>
        </is>
      </c>
      <c r="C3" s="7" t="inlineStr">
        <is>
          <t>价格</t>
        </is>
      </c>
      <c r="D3" s="7" t="inlineStr">
        <is>
          <t>费用类型</t>
        </is>
      </c>
      <c r="E3" s="7" t="inlineStr">
        <is>
          <t>成交额(元)</t>
        </is>
      </c>
      <c r="F3" s="7" t="inlineStr">
        <is>
          <t>佣金</t>
        </is>
      </c>
      <c r="G3" s="7" t="inlineStr">
        <is>
          <t>印花税</t>
        </is>
      </c>
      <c r="H3" s="7" t="inlineStr">
        <is>
          <t>费用合计</t>
        </is>
      </c>
      <c r="I3" s="7" t="inlineStr">
        <is>
          <t>净回笼</t>
        </is>
      </c>
      <c r="J3" s="7" t="inlineStr">
        <is>
          <t>实现盈亏(毛)</t>
        </is>
      </c>
      <c r="K3" s="7" t="inlineStr">
        <is>
          <t>实现盈亏(扣费后)</t>
        </is>
      </c>
    </row>
    <row r="4">
      <c r="A4" s="5" t="inlineStr">
        <is>
          <t>P01</t>
        </is>
      </c>
      <c r="B4" s="5" t="n">
        <v>5000</v>
      </c>
      <c r="C4" s="5" t="n">
        <v>32.8</v>
      </c>
      <c r="D4" s="5" t="inlineStr">
        <is>
          <t>A股(100股)</t>
        </is>
      </c>
      <c r="E4" s="9" t="n">
        <v>164000</v>
      </c>
      <c r="F4" s="9" t="n">
        <v>49.2</v>
      </c>
      <c r="G4" s="9" t="n">
        <v>82</v>
      </c>
      <c r="H4" s="9" t="n">
        <v>131.2</v>
      </c>
      <c r="I4" s="9" t="n">
        <v>163868.8</v>
      </c>
      <c r="J4" s="9" t="n">
        <v>-32150</v>
      </c>
      <c r="K4" s="9" t="n">
        <v>-32281.2</v>
      </c>
    </row>
    <row r="5">
      <c r="A5" s="5" t="inlineStr">
        <is>
          <t>P05</t>
        </is>
      </c>
      <c r="B5" s="5" t="n">
        <v>200</v>
      </c>
      <c r="C5" s="5" t="n">
        <v>105</v>
      </c>
      <c r="D5" s="5" t="inlineStr">
        <is>
          <t>A股(100股)</t>
        </is>
      </c>
      <c r="E5" s="9" t="n">
        <v>21000</v>
      </c>
      <c r="F5" s="9" t="n">
        <v>6.3</v>
      </c>
      <c r="G5" s="9" t="n">
        <v>10.5</v>
      </c>
      <c r="H5" s="9" t="n">
        <v>16.8</v>
      </c>
      <c r="I5" s="9" t="n">
        <v>20983.2</v>
      </c>
      <c r="J5" s="9" t="n">
        <v>4519.999999999999</v>
      </c>
      <c r="K5" s="9" t="n">
        <v>4503.199999999999</v>
      </c>
    </row>
    <row r="6">
      <c r="A6" s="5" t="inlineStr">
        <is>
          <t>P07</t>
        </is>
      </c>
      <c r="B6" s="5" t="n">
        <v>9000</v>
      </c>
      <c r="C6" s="5" t="n">
        <v>15.3</v>
      </c>
      <c r="D6" s="5" t="inlineStr">
        <is>
          <t>港股ETF(500份)</t>
        </is>
      </c>
      <c r="E6" s="9" t="n">
        <v>126684</v>
      </c>
      <c r="F6" s="9" t="n">
        <v>0</v>
      </c>
      <c r="G6" s="9" t="n">
        <v>0</v>
      </c>
      <c r="H6" s="9" t="n">
        <v>126.684</v>
      </c>
      <c r="I6" s="9" t="n">
        <v>126557.316</v>
      </c>
      <c r="J6" s="9" t="n">
        <v>-9107.999999999987</v>
      </c>
      <c r="K6" s="9" t="n">
        <v>-9234.683999999987</v>
      </c>
    </row>
    <row r="7">
      <c r="A7" s="10" t="inlineStr">
        <is>
          <t>合计</t>
        </is>
      </c>
      <c r="B7" s="10" t="inlineStr"/>
      <c r="C7" s="10" t="inlineStr"/>
      <c r="D7" s="10" t="inlineStr"/>
      <c r="E7" s="11" t="n">
        <v>311684</v>
      </c>
      <c r="F7" s="11" t="n">
        <v>55.49999999999999</v>
      </c>
      <c r="G7" s="11" t="n">
        <v>92.5</v>
      </c>
      <c r="H7" s="11" t="n">
        <v>274.684</v>
      </c>
      <c r="I7" s="11" t="n">
        <v>311409.316</v>
      </c>
      <c r="J7" s="11" t="n">
        <v>-36737.99999999999</v>
      </c>
      <c r="K7" s="11" t="n">
        <v>-37012.68399999999</v>
      </c>
    </row>
    <row r="9">
      <c r="A9" s="13" t="inlineStr">
        <is>
          <t>费用勾稽：佣金=成交额×0.03%且≥5元（A股）；印花税=成交额×0.05%；P07综合费=0.10%；未设过户费故不计。费用合计 274.68 元，隐含费率 0.088%。</t>
        </is>
      </c>
    </row>
    <row r="10">
      <c r="A10" s="3" t="inlineStr">
        <is>
          <t>净回笼 311,409.32 元；扣费后实现盈亏 -37,012.68 元。卖出后总资产 982,385 = 转出前1,032,660 − 转出50,000 − 费用274.68。</t>
        </is>
      </c>
    </row>
  </sheetData>
  <mergeCells count="3">
    <mergeCell ref="A1:K1"/>
    <mergeCell ref="A9:K9"/>
    <mergeCell ref="A10:K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30" customWidth="1" min="4" max="4"/>
    <col width="18" customWidth="1" min="5" max="5"/>
    <col width="16" customWidth="1" min="6" max="6"/>
    <col width="26" customWidth="1" min="7" max="7"/>
    <col width="26" customWidth="1" min="8" max="8"/>
  </cols>
  <sheetData>
    <row r="1">
      <c r="A1" s="1" t="inlineStr">
        <is>
          <t>if→then 交易纪律（区分正常成交/无法成交/风险扩大；非委托，仅为计划）</t>
        </is>
      </c>
    </row>
    <row r="3">
      <c r="A3" s="7" t="inlineStr">
        <is>
          <t>规则</t>
        </is>
      </c>
      <c r="B3" s="7" t="inlineStr">
        <is>
          <t>触发条件(阈值+时点)</t>
        </is>
      </c>
      <c r="C3" s="7" t="inlineStr">
        <is>
          <t>方向自检</t>
        </is>
      </c>
      <c r="D3" s="7" t="inlineStr">
        <is>
          <t>动作</t>
        </is>
      </c>
      <c r="E3" s="7" t="inlineStr">
        <is>
          <t>数量及口径</t>
        </is>
      </c>
      <c r="F3" s="7" t="inlineStr">
        <is>
          <t>目标</t>
        </is>
      </c>
      <c r="G3" s="7" t="inlineStr">
        <is>
          <t>未成交后手</t>
        </is>
      </c>
      <c r="H3" s="7" t="inlineStr">
        <is>
          <t>交易后复核</t>
        </is>
      </c>
    </row>
    <row r="4">
      <c r="A4" s="16" t="inlineStr">
        <is>
          <t>R1</t>
        </is>
      </c>
      <c r="B4" s="16" t="inlineStr">
        <is>
          <t>8/17周一开盘后 P01 仍正常、无停牌/跌停（观察9:30报价与买一量）</t>
        </is>
      </c>
      <c r="C4" s="16" t="inlineStr">
        <is>
          <t>下跌会降低其权重，故以正常可卖为触发，而非价格</t>
        </is>
      </c>
      <c r="D4" s="16" t="inlineStr">
        <is>
          <t>以限价≤32.8 卖出 P01</t>
        </is>
      </c>
      <c r="E4" s="16" t="inlineStr">
        <is>
          <t>5000股(全部，累计清仓；基准5000)</t>
        </is>
      </c>
      <c r="F4" s="16" t="inlineStr">
        <is>
          <t>P01=0；高风险降至≤45%</t>
        </is>
      </c>
      <c r="G4" s="16" t="inlineStr">
        <is>
          <t>若当日跌停/无买盘，改挂次一交易日限价；仍不足则R3加码至P07全清</t>
        </is>
      </c>
      <c r="H4" s="16" t="inlineStr">
        <is>
          <t>P01权重=0；高风险合计≤45%</t>
        </is>
      </c>
    </row>
    <row r="5">
      <c r="A5" s="16" t="inlineStr">
        <is>
          <t>R2</t>
        </is>
      </c>
      <c r="B5" s="16" t="inlineStr">
        <is>
          <t>R1下单同时，P05 无涨跌停</t>
        </is>
      </c>
      <c r="C5" s="16" t="inlineStr">
        <is>
          <t>—</t>
        </is>
      </c>
      <c r="D5" s="16" t="inlineStr">
        <is>
          <t>以限价≤105 卖出 P05</t>
        </is>
      </c>
      <c r="E5" s="16" t="inlineStr">
        <is>
          <t>200股(本次初始；基准2000)</t>
        </is>
      </c>
      <c r="F5" s="16" t="inlineStr">
        <is>
          <t>P05≤20%（约19.2%）</t>
        </is>
      </c>
      <c r="G5" s="16" t="inlineStr">
        <is>
          <t>若涨跌停，顺延至次日；P05单票超限期间禁止加仓/做T</t>
        </is>
      </c>
      <c r="H5" s="16" t="inlineStr">
        <is>
          <t>P05权重≤20%</t>
        </is>
      </c>
    </row>
    <row r="6">
      <c r="A6" s="16" t="inlineStr">
        <is>
          <t>R3</t>
        </is>
      </c>
      <c r="B6" s="16" t="inlineStr">
        <is>
          <t>8/17–8/18，P07 港币报价正常</t>
        </is>
      </c>
      <c r="C6" s="16" t="inlineStr">
        <is>
          <t>—</t>
        </is>
      </c>
      <c r="D6" s="16" t="inlineStr">
        <is>
          <t>以限价≤15.3港币 卖出 P07</t>
        </is>
      </c>
      <c r="E6" s="16" t="inlineStr">
        <is>
          <t>9000份(本次初始；基准10000，最小单位500)</t>
        </is>
      </c>
      <c r="F6" s="16" t="inlineStr">
        <is>
          <t>P07留1000份；外币≤15%；科技≤40%</t>
        </is>
      </c>
      <c r="G6" s="16" t="inlineStr">
        <is>
          <t>若流动性不足分两日各卖4500份；未完成则R1后手加码</t>
        </is>
      </c>
      <c r="H6" s="16" t="inlineStr">
        <is>
          <t>外币敞口≤15%；科技≤40%</t>
        </is>
      </c>
    </row>
    <row r="7">
      <c r="A7" s="16" t="inlineStr">
        <is>
          <t>R4(后手)</t>
        </is>
      </c>
      <c r="B7" s="16" t="inlineStr">
        <is>
          <t>R1–R3成交后 P02 仍跌停/无买盘</t>
        </is>
      </c>
      <c r="C7" s="16" t="inlineStr">
        <is>
          <t>—</t>
        </is>
      </c>
      <c r="D7" s="16" t="inlineStr">
        <is>
          <t>不强行卖出；主方案已不依赖P02成交</t>
        </is>
      </c>
      <c r="E7" s="16" t="inlineStr">
        <is>
          <t>0股</t>
        </is>
      </c>
      <c r="F7" s="16" t="inlineStr">
        <is>
          <t>维持175,200(约17.8%)</t>
        </is>
      </c>
      <c r="G7" s="16" t="inlineStr">
        <is>
          <t>待P02开板且买盘充足时，卖1000股(约5.84万)进一步降科技/高风险</t>
        </is>
      </c>
      <c r="H7" s="16" t="inlineStr">
        <is>
          <t>开板后重新测算科技与高风险</t>
        </is>
      </c>
    </row>
    <row r="8">
      <c r="A8" s="16" t="inlineStr">
        <is>
          <t>R5(停牌)</t>
        </is>
      </c>
      <c r="B8" s="16" t="inlineStr">
        <is>
          <t>P04 复牌日未确定</t>
        </is>
      </c>
      <c r="C8" s="16" t="inlineStr">
        <is>
          <t>停牌不可卖</t>
        </is>
      </c>
      <c r="D8" s="16" t="inlineStr">
        <is>
          <t>不操作；复牌首日按新价重估</t>
        </is>
      </c>
      <c r="E8" s="16" t="inlineStr">
        <is>
          <t>0股</t>
        </is>
      </c>
      <c r="F8" s="16" t="inlineStr">
        <is>
          <t>—</t>
        </is>
      </c>
      <c r="G8" s="16" t="inlineStr">
        <is>
          <t>复牌即重算全部硬约束；若因跳空致科技/单票超限，当日按新价反解整手</t>
        </is>
      </c>
      <c r="H8" s="16" t="inlineStr">
        <is>
          <t>复牌后重跑勾稽</t>
        </is>
      </c>
    </row>
    <row r="9">
      <c r="A9" s="16" t="inlineStr">
        <is>
          <t>R6(提款)</t>
        </is>
      </c>
      <c r="B9" s="16" t="inlineStr">
        <is>
          <t>8/17 资金可划转时点</t>
        </is>
      </c>
      <c r="C9" s="16" t="inlineStr">
        <is>
          <t>—</t>
        </is>
      </c>
      <c r="D9" s="16" t="inlineStr">
        <is>
          <t>从人民币现金划出50,000</t>
        </is>
      </c>
      <c r="E9" s="16" t="inlineStr">
        <is>
          <t>净转出50,000</t>
        </is>
      </c>
      <c r="F9" s="16" t="inlineStr">
        <is>
          <t>现金类仍≥10%</t>
        </is>
      </c>
      <c r="G9" s="16" t="inlineStr">
        <is>
          <t>现有人民币现金142,500已覆盖；卖出回款到账后更充裕</t>
        </is>
      </c>
      <c r="H9" s="16" t="inlineStr">
        <is>
          <t>划出后现金≥10%</t>
        </is>
      </c>
    </row>
    <row r="10">
      <c r="A10" s="16" t="inlineStr">
        <is>
          <t>R7(风险扩大)</t>
        </is>
      </c>
      <c r="B10" s="16" t="inlineStr">
        <is>
          <t>主方案完成后，若科技因其余持仓上涨重回&gt;40% 或 P05&gt;20%</t>
        </is>
      </c>
      <c r="C10" s="16" t="inlineStr">
        <is>
          <t>上涨才使指标恶化（下跌会自动达标，不触发）</t>
        </is>
      </c>
      <c r="D10" s="16" t="inlineStr">
        <is>
          <t>对最大超标的科技股限价减1档整手</t>
        </is>
      </c>
      <c r="E10" s="16" t="inlineStr">
        <is>
          <t>按当时价反算向上取整100股</t>
        </is>
      </c>
      <c r="F10" s="16" t="inlineStr">
        <is>
          <t>回到阈值内0.5pp缓冲</t>
        </is>
      </c>
      <c r="G10" s="16" t="inlineStr">
        <is>
          <t>连续两日不达标则通知投资经理，禁止加仓/做T</t>
        </is>
      </c>
      <c r="H10" s="16" t="inlineStr">
        <is>
          <t>收盘后复核五项约束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26" customWidth="1" min="4" max="4"/>
    <col width="26" customWidth="1" min="5" max="5"/>
  </cols>
  <sheetData>
    <row r="1">
      <c r="A1" s="1" t="inlineStr">
        <is>
          <t>假设与缺失清单（残差/口径/不可交易项照实列出）</t>
        </is>
      </c>
    </row>
    <row r="3">
      <c r="A3" s="7" t="inlineStr">
        <is>
          <t>条目</t>
        </is>
      </c>
      <c r="B3" s="7" t="inlineStr">
        <is>
          <t>类型</t>
        </is>
      </c>
      <c r="C3" s="7" t="inlineStr">
        <is>
          <t>依据</t>
        </is>
      </c>
      <c r="D3" s="7" t="inlineStr">
        <is>
          <t>影响结论</t>
        </is>
      </c>
      <c r="E3" s="7" t="inlineStr">
        <is>
          <t>补齐后重算</t>
        </is>
      </c>
    </row>
    <row r="4">
      <c r="A4" s="16" t="inlineStr">
        <is>
          <t>托管系统总资产1,032,660为主口径</t>
        </is>
      </c>
      <c r="B4" s="16" t="inlineStr">
        <is>
          <t>已确认事实</t>
        </is>
      </c>
      <c r="C4" s="16" t="inlineStr">
        <is>
          <t>可与7只持仓+现金-待扣逐项勾稽</t>
        </is>
      </c>
      <c r="D4" s="16" t="inlineStr">
        <is>
          <t>所有权重/占比分母</t>
        </is>
      </c>
      <c r="E4" s="16" t="inlineStr">
        <is>
          <t>—</t>
        </is>
      </c>
    </row>
    <row r="5">
      <c r="A5" s="16" t="inlineStr">
        <is>
          <t>组合经理手工1,029,000差3,660</t>
        </is>
      </c>
      <c r="B5" s="16" t="inlineStr">
        <is>
          <t>仍缺证据</t>
        </is>
      </c>
      <c r="C5" s="16" t="inlineStr">
        <is>
          <t>无任何明细/汇率可复现该差额</t>
        </is>
      </c>
      <c r="D5" s="16" t="inlineStr">
        <is>
          <t>对照用，不改变超限判定</t>
        </is>
      </c>
      <c r="E5" s="16" t="inlineStr">
        <is>
          <t>查明3,660来源后重算两锚</t>
        </is>
      </c>
    </row>
    <row r="6">
      <c r="A6" s="16" t="inlineStr">
        <is>
          <t>外币含美元现金</t>
        </is>
      </c>
      <c r="B6" s="16" t="inlineStr">
        <is>
          <t>合理推断</t>
        </is>
      </c>
      <c r="C6" s="16" t="inlineStr">
        <is>
          <t>USD现金为外币计价资产；风险表仅标P07</t>
        </is>
      </c>
      <c r="D6" s="16" t="inlineStr">
        <is>
          <t>外币约束略偏严</t>
        </is>
      </c>
      <c r="E6" s="16" t="inlineStr">
        <is>
          <t>若仅计持仓口径，卖出前外币14.3%已达标</t>
        </is>
      </c>
    </row>
    <row r="7">
      <c r="A7" s="16" t="inlineStr">
        <is>
          <t>P06除息用2.88参考价、成本仍3.1</t>
        </is>
      </c>
      <c r="B7" s="16" t="inlineStr">
        <is>
          <t>已确认事实</t>
        </is>
      </c>
      <c r="C7" s="16" t="inlineStr">
        <is>
          <t>附件：8/12派0.80，参考价2.88</t>
        </is>
      </c>
      <c r="D7" s="16" t="inlineStr">
        <is>
          <t>价格回报-2,200+股息8,000=+5,800</t>
        </is>
      </c>
      <c r="E7" s="16" t="inlineStr">
        <is>
          <t>—</t>
        </is>
      </c>
    </row>
    <row r="8">
      <c r="A8" s="16" t="inlineStr">
        <is>
          <t>P04以8/13价12.35计且不可卖</t>
        </is>
      </c>
      <c r="B8" s="16" t="inlineStr">
        <is>
          <t>已确认事实</t>
        </is>
      </c>
      <c r="C8" s="16" t="inlineStr">
        <is>
          <t>8/14全天停牌，复牌未定</t>
        </is>
      </c>
      <c r="D8" s="16" t="inlineStr">
        <is>
          <t>P04 74,100为陈旧价，风险约束'无法评估'其复牌跳空</t>
        </is>
      </c>
      <c r="E8" s="16" t="inlineStr">
        <is>
          <t>复牌日按新价重估</t>
        </is>
      </c>
    </row>
    <row r="9">
      <c r="A9" s="16" t="inlineStr">
        <is>
          <t>P02跌停不计入可成交</t>
        </is>
      </c>
      <c r="B9" s="16" t="inlineStr">
        <is>
          <t>已确认事实</t>
        </is>
      </c>
      <c r="C9" s="16" t="inlineStr">
        <is>
          <t>8/14收盘封单</t>
        </is>
      </c>
      <c r="D9" s="16" t="inlineStr">
        <is>
          <t>主方案不依赖P02</t>
        </is>
      </c>
      <c r="E9" s="16" t="inlineStr">
        <is>
          <t>开板后重算</t>
        </is>
      </c>
    </row>
    <row r="10">
      <c r="A10" s="16" t="inlineStr">
        <is>
          <t>完整风险贡献需全协方差矩阵</t>
        </is>
      </c>
      <c r="B10" s="16" t="inlineStr">
        <is>
          <t>仍缺证据</t>
        </is>
      </c>
      <c r="C10" s="16" t="inlineStr">
        <is>
          <t>附件仅给与P05的相关系数</t>
        </is>
      </c>
      <c r="D10" s="16" t="inlineStr">
        <is>
          <t>无法做ΣRC=100%分解</t>
        </is>
      </c>
      <c r="E10" s="16" t="inlineStr">
        <is>
          <t>补全 pairwise 相关后重算</t>
        </is>
      </c>
    </row>
    <row r="11">
      <c r="A11" s="16" t="inlineStr">
        <is>
          <t>费用未列过户费</t>
        </is>
      </c>
      <c r="B11" s="16" t="inlineStr">
        <is>
          <t>合理推断</t>
        </is>
      </c>
      <c r="C11" s="16" t="inlineStr">
        <is>
          <t>费率表仅给佣金/印花税/港股综合费</t>
        </is>
      </c>
      <c r="D11" s="16" t="inlineStr">
        <is>
          <t>费用略低</t>
        </is>
      </c>
      <c r="E11" s="16" t="inlineStr">
        <is>
          <t>收到过户费费率后重算</t>
        </is>
      </c>
    </row>
    <row r="12">
      <c r="A12" s="16" t="inlineStr">
        <is>
          <t>压力情景为分析假设</t>
        </is>
      </c>
      <c r="B12" s="16" t="inlineStr">
        <is>
          <t>合理推断</t>
        </is>
      </c>
      <c r="C12" s="16" t="inlineStr">
        <is>
          <t>附件未定义数值冲击路径</t>
        </is>
      </c>
      <c r="D12" s="16" t="inlineStr">
        <is>
          <t>损失率仅作敏感度参考</t>
        </is>
      </c>
      <c r="E12" s="16" t="inlineStr">
        <is>
          <t>给定官方压力定义后替换</t>
        </is>
      </c>
    </row>
    <row r="13">
      <c r="A13" s="16" t="inlineStr">
        <is>
          <t>'P05暂不减持'未获批</t>
        </is>
      </c>
      <c r="B13" s="16" t="inlineStr">
        <is>
          <t>已确认事实</t>
        </is>
      </c>
      <c r="C13" s="16" t="inlineStr">
        <is>
          <t>组合经理意见无客户/风险例外审批</t>
        </is>
      </c>
      <c r="D13" s="16" t="inlineStr">
        <is>
          <t>不能覆盖单票与科技上限</t>
        </is>
      </c>
      <c r="E13" s="16" t="inlineStr">
        <is>
          <t>取得书面例外后重排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40" customWidth="1" min="4" max="4"/>
  </cols>
  <sheetData>
    <row r="1">
      <c r="A1" s="1" t="inlineStr">
        <is>
          <t>交付前核验（同指标同公式同值；加总与勾稽逐项过）</t>
        </is>
      </c>
    </row>
    <row r="3">
      <c r="A3" s="7" t="inlineStr">
        <is>
          <t>核验项</t>
        </is>
      </c>
      <c r="B3" s="7" t="inlineStr">
        <is>
          <t>结果</t>
        </is>
      </c>
      <c r="C3" s="7" t="inlineStr">
        <is>
          <t>通过</t>
        </is>
      </c>
      <c r="D3" s="7" t="inlineStr">
        <is>
          <t>说明</t>
        </is>
      </c>
    </row>
    <row r="4">
      <c r="A4" s="5" t="inlineStr">
        <is>
          <t>证券市值加总=托管869,820</t>
        </is>
      </c>
      <c r="B4" s="5" t="inlineStr">
        <is>
          <t>869,820</t>
        </is>
      </c>
      <c r="C4" s="12" t="inlineStr">
        <is>
          <t>通过</t>
        </is>
      </c>
      <c r="D4" s="5" t="inlineStr">
        <is>
          <t>7只持仓按现价折算</t>
        </is>
      </c>
    </row>
    <row r="5">
      <c r="A5" s="5" t="inlineStr">
        <is>
          <t>勾稽合计=托管总资产1,032,660</t>
        </is>
      </c>
      <c r="B5" s="5" t="inlineStr">
        <is>
          <t>1,032,660</t>
        </is>
      </c>
      <c r="C5" s="12" t="inlineStr">
        <is>
          <t>通过</t>
        </is>
      </c>
      <c r="D5" s="5" t="inlineStr">
        <is>
          <t>市值+现金+美元-待扣</t>
        </is>
      </c>
    </row>
    <row r="6">
      <c r="A6" s="5" t="inlineStr">
        <is>
          <t>两锚差额=3,660</t>
        </is>
      </c>
      <c r="B6" s="5" t="inlineStr">
        <is>
          <t>3,660</t>
        </is>
      </c>
      <c r="C6" s="12" t="inlineStr">
        <is>
          <t>通过</t>
        </is>
      </c>
      <c r="D6" s="5" t="inlineStr">
        <is>
          <t>列入缺失清单，未平账</t>
        </is>
      </c>
    </row>
    <row r="7">
      <c r="A7" s="5" t="inlineStr">
        <is>
          <t>科技主方案≤40%</t>
        </is>
      </c>
      <c r="B7" s="5" t="inlineStr">
        <is>
          <t>38.51%</t>
        </is>
      </c>
      <c r="C7" s="12" t="inlineStr">
        <is>
          <t>通过</t>
        </is>
      </c>
      <c r="D7" s="5" t="inlineStr">
        <is>
          <t>缓冲1.49pp</t>
        </is>
      </c>
    </row>
    <row r="8">
      <c r="A8" s="5" t="inlineStr">
        <is>
          <t>高风险主方案≤45%</t>
        </is>
      </c>
      <c r="B8" s="5" t="inlineStr">
        <is>
          <t>37.07%</t>
        </is>
      </c>
      <c r="C8" s="12" t="inlineStr">
        <is>
          <t>通过</t>
        </is>
      </c>
      <c r="D8" s="5" t="inlineStr"/>
    </row>
    <row r="9">
      <c r="A9" s="5" t="inlineStr">
        <is>
          <t>P05单票≤20%</t>
        </is>
      </c>
      <c r="B9" s="5" t="inlineStr">
        <is>
          <t>19.24%</t>
        </is>
      </c>
      <c r="C9" s="12" t="inlineStr">
        <is>
          <t>通过</t>
        </is>
      </c>
      <c r="D9" s="5" t="inlineStr"/>
    </row>
    <row r="10">
      <c r="A10" s="5" t="inlineStr">
        <is>
          <t>外币主方案≤15%</t>
        </is>
      </c>
      <c r="B10" s="5" t="inlineStr">
        <is>
          <t>3.63%</t>
        </is>
      </c>
      <c r="C10" s="12" t="inlineStr">
        <is>
          <t>通过</t>
        </is>
      </c>
      <c r="D10" s="5" t="inlineStr"/>
    </row>
    <row r="11">
      <c r="A11" s="5" t="inlineStr">
        <is>
          <t>现金类(转出后)≥10%</t>
        </is>
      </c>
      <c r="B11" s="5" t="inlineStr">
        <is>
          <t>43.3%</t>
        </is>
      </c>
      <c r="C11" s="12" t="inlineStr">
        <is>
          <t>通过</t>
        </is>
      </c>
      <c r="D11" s="5" t="inlineStr"/>
    </row>
    <row r="12">
      <c r="A12" s="5" t="inlineStr">
        <is>
          <t>费用=佣金+印花税+综合费</t>
        </is>
      </c>
      <c r="B12" s="5" t="inlineStr">
        <is>
          <t>274.68</t>
        </is>
      </c>
      <c r="C12" s="12" t="inlineStr">
        <is>
          <t>通过</t>
        </is>
      </c>
      <c r="D12" s="5" t="inlineStr">
        <is>
          <t>逐笔勾稽，无#REF/#VALUE</t>
        </is>
      </c>
    </row>
    <row r="13">
      <c r="A13" s="5" t="inlineStr">
        <is>
          <t>卖出后现金≥5万提款</t>
        </is>
      </c>
      <c r="B13" s="5" t="inlineStr">
        <is>
          <t>277,352</t>
        </is>
      </c>
      <c r="C13" s="12" t="inlineStr">
        <is>
          <t>通过</t>
        </is>
      </c>
      <c r="D13" s="5" t="inlineStr">
        <is>
          <t>人民币现金净额为正</t>
        </is>
      </c>
    </row>
    <row r="14">
      <c r="A14" s="5" t="inlineStr">
        <is>
          <t>P02/P04未被写成可成交</t>
        </is>
      </c>
      <c r="B14" s="5" t="inlineStr">
        <is>
          <t>是</t>
        </is>
      </c>
      <c r="C14" s="12" t="inlineStr">
        <is>
          <t>通过</t>
        </is>
      </c>
      <c r="D14" s="5" t="inlineStr">
        <is>
          <t>跌停/停牌均标不可成交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2026-09-18T08:40:21Z</dcterms:created>
  <dcterms:modified xmlns:dcterms="http://purl.org/dc/terms/" xmlns:xsi="http://www.w3.org/2001/XMLSchema-instance" xsi:type="dcterms:W3CDTF">2026-09-18T08:40:21Z</dcterms:modified>
</cp:coreProperties>
</file>